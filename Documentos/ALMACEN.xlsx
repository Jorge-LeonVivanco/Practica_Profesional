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8C7779FA-5B0F-48D3-8984-F549E0F951E9}" xr6:coauthVersionLast="47" xr6:coauthVersionMax="47" xr10:uidLastSave="{00000000-0000-0000-0000-000000000000}"/>
  <bookViews>
    <workbookView xWindow="-120" yWindow="-120" windowWidth="15600" windowHeight="11040" activeTab="2" xr2:uid="{F184BEBF-D610-4CAA-9033-CE7E258EACAB}"/>
  </bookViews>
  <sheets>
    <sheet name="PF" sheetId="2" r:id="rId1"/>
    <sheet name="BDPF" sheetId="4" r:id="rId2"/>
    <sheet name="MEP" sheetId="9" r:id="rId3"/>
    <sheet name="MP" sheetId="3" r:id="rId4"/>
    <sheet name="BDMP" sheetId="5" r:id="rId5"/>
    <sheet name="Hoja2" sheetId="8" r:id="rId6"/>
  </sheets>
  <definedNames>
    <definedName name="_xlnm._FilterDatabase" localSheetId="1" hidden="1">BDPF!$A$64:$J$71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9" l="1"/>
  <c r="H8" i="9"/>
  <c r="H7" i="9"/>
  <c r="H6" i="9"/>
  <c r="D20" i="9"/>
  <c r="D19" i="9"/>
  <c r="D15" i="9"/>
  <c r="D14" i="9"/>
  <c r="D7" i="9"/>
  <c r="D8" i="9"/>
  <c r="D9" i="9"/>
  <c r="D10" i="9"/>
  <c r="D6" i="9"/>
  <c r="P40" i="4" l="1"/>
  <c r="O40" i="4"/>
  <c r="N40" i="4"/>
  <c r="P39" i="4"/>
  <c r="O39" i="4"/>
  <c r="N39" i="4"/>
  <c r="P38" i="4"/>
  <c r="R38" i="4" s="1"/>
  <c r="O38" i="4"/>
  <c r="N38" i="4"/>
  <c r="P37" i="4"/>
  <c r="O37" i="4"/>
  <c r="N37" i="4"/>
  <c r="P36" i="4"/>
  <c r="R36" i="4" s="1"/>
  <c r="O36" i="4"/>
  <c r="N36" i="4"/>
  <c r="R37" i="4"/>
  <c r="R39" i="4"/>
  <c r="R40" i="4"/>
  <c r="R35" i="4"/>
  <c r="P35" i="4"/>
  <c r="O35" i="4"/>
  <c r="N35" i="4"/>
  <c r="Q32" i="4"/>
  <c r="P32" i="4"/>
  <c r="Q31" i="4"/>
  <c r="P31" i="4"/>
  <c r="Q30" i="4"/>
  <c r="P30" i="4"/>
  <c r="Q29" i="4"/>
  <c r="P29" i="4"/>
  <c r="Q28" i="4"/>
  <c r="P28" i="4"/>
  <c r="Q27" i="4"/>
  <c r="P27" i="4"/>
  <c r="Q26" i="4"/>
  <c r="P26" i="4"/>
  <c r="Q25" i="4"/>
  <c r="S25" i="4" s="1"/>
  <c r="P25" i="4"/>
  <c r="Q24" i="4"/>
  <c r="P24" i="4"/>
  <c r="Q23" i="4"/>
  <c r="P23" i="4"/>
  <c r="Q22" i="4"/>
  <c r="P22" i="4"/>
  <c r="Q21" i="4"/>
  <c r="P21" i="4"/>
  <c r="Q20" i="4"/>
  <c r="P20" i="4"/>
  <c r="Q19" i="4"/>
  <c r="P19" i="4"/>
  <c r="Q18" i="4"/>
  <c r="P18" i="4"/>
  <c r="Q17" i="4"/>
  <c r="P17" i="4"/>
  <c r="Q16" i="4"/>
  <c r="S16" i="4" s="1"/>
  <c r="P16" i="4"/>
  <c r="S17" i="4"/>
  <c r="S18" i="4"/>
  <c r="S19" i="4"/>
  <c r="S20" i="4"/>
  <c r="S21" i="4"/>
  <c r="S22" i="4"/>
  <c r="S23" i="4"/>
  <c r="S24" i="4"/>
  <c r="S26" i="4"/>
  <c r="S27" i="4"/>
  <c r="S28" i="4"/>
  <c r="S29" i="4"/>
  <c r="S30" i="4"/>
  <c r="S31" i="4"/>
  <c r="S32" i="4"/>
  <c r="S15" i="4"/>
  <c r="Q15" i="4"/>
  <c r="P15" i="4"/>
  <c r="O32" i="4"/>
  <c r="O31" i="4"/>
  <c r="O30" i="4"/>
  <c r="O29" i="4"/>
  <c r="O28" i="4"/>
  <c r="O27" i="4"/>
  <c r="O26" i="4"/>
  <c r="O25" i="4"/>
  <c r="O24" i="4"/>
  <c r="O21" i="4"/>
  <c r="O23" i="4"/>
  <c r="O22" i="4"/>
  <c r="O20" i="4"/>
  <c r="O19" i="4"/>
  <c r="O18" i="4"/>
  <c r="O17" i="4"/>
  <c r="O16" i="4"/>
  <c r="O15" i="4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3" i="8"/>
  <c r="H41" i="4"/>
  <c r="H6" i="4"/>
  <c r="H5" i="4"/>
  <c r="H4" i="4"/>
  <c r="P11" i="4"/>
  <c r="O11" i="4"/>
  <c r="N11" i="4"/>
  <c r="P10" i="4"/>
  <c r="O10" i="4"/>
  <c r="N10" i="4"/>
  <c r="P9" i="4"/>
  <c r="O9" i="4"/>
  <c r="N9" i="4"/>
  <c r="P8" i="4"/>
  <c r="O8" i="4"/>
  <c r="N8" i="4"/>
  <c r="P7" i="4"/>
  <c r="O7" i="4"/>
  <c r="N7" i="4"/>
  <c r="P6" i="4"/>
  <c r="O6" i="4"/>
  <c r="N6" i="4"/>
  <c r="P5" i="4"/>
  <c r="O5" i="4"/>
  <c r="N5" i="4"/>
  <c r="D60" i="4"/>
  <c r="D57" i="4"/>
  <c r="D55" i="4"/>
  <c r="D52" i="4"/>
  <c r="D51" i="4"/>
  <c r="D50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3" i="4"/>
  <c r="D32" i="4"/>
  <c r="D31" i="4"/>
  <c r="D30" i="4"/>
  <c r="D29" i="4"/>
  <c r="D26" i="4"/>
  <c r="D25" i="4"/>
  <c r="D24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K174" i="5"/>
  <c r="K172" i="5"/>
  <c r="K170" i="5"/>
  <c r="K168" i="5"/>
  <c r="K166" i="5"/>
  <c r="K164" i="5"/>
  <c r="K162" i="5"/>
  <c r="K160" i="5"/>
  <c r="K158" i="5"/>
  <c r="K156" i="5"/>
  <c r="K154" i="5"/>
  <c r="K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52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K148" i="5"/>
  <c r="K146" i="5"/>
  <c r="K144" i="5"/>
  <c r="K142" i="5"/>
  <c r="K140" i="5"/>
  <c r="K138" i="5"/>
  <c r="K136" i="5"/>
  <c r="K134" i="5"/>
  <c r="K132" i="5"/>
  <c r="K130" i="5"/>
  <c r="K128" i="5"/>
  <c r="K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26" i="5"/>
  <c r="I3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K100" i="5"/>
  <c r="K122" i="5"/>
  <c r="K120" i="5"/>
  <c r="K118" i="5"/>
  <c r="K116" i="5"/>
  <c r="K114" i="5"/>
  <c r="K112" i="5"/>
  <c r="K110" i="5"/>
  <c r="K108" i="5"/>
  <c r="K106" i="5"/>
  <c r="K104" i="5"/>
  <c r="K102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00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K96" i="5"/>
  <c r="K94" i="5"/>
  <c r="K92" i="5"/>
  <c r="K90" i="5"/>
  <c r="K88" i="5"/>
  <c r="K86" i="5"/>
  <c r="K84" i="5"/>
  <c r="K82" i="5"/>
  <c r="K80" i="5"/>
  <c r="K78" i="5"/>
  <c r="K76" i="5"/>
  <c r="K74" i="5"/>
  <c r="K72" i="5"/>
  <c r="K70" i="5"/>
  <c r="K68" i="5"/>
  <c r="K66" i="5"/>
  <c r="K64" i="5"/>
  <c r="K62" i="5"/>
  <c r="K60" i="5"/>
  <c r="K58" i="5"/>
  <c r="K56" i="5"/>
  <c r="K54" i="5"/>
  <c r="K52" i="5"/>
  <c r="K50" i="5"/>
  <c r="K48" i="5"/>
  <c r="K46" i="5"/>
  <c r="K44" i="5"/>
  <c r="K42" i="5"/>
  <c r="K40" i="5"/>
  <c r="K38" i="5"/>
  <c r="K36" i="5"/>
  <c r="K34" i="5"/>
  <c r="K32" i="5"/>
  <c r="K30" i="5"/>
  <c r="K28" i="5"/>
  <c r="K26" i="5"/>
  <c r="K24" i="5"/>
  <c r="K22" i="5"/>
  <c r="K20" i="5"/>
  <c r="K18" i="5"/>
  <c r="K16" i="5"/>
  <c r="K14" i="5"/>
  <c r="K12" i="5"/>
  <c r="K10" i="5"/>
  <c r="K8" i="5"/>
  <c r="K4" i="5"/>
  <c r="K2" i="5"/>
  <c r="J96" i="5"/>
  <c r="J94" i="5"/>
  <c r="J92" i="5"/>
  <c r="J90" i="5"/>
  <c r="J88" i="5"/>
  <c r="J86" i="5"/>
  <c r="J84" i="5"/>
  <c r="J82" i="5"/>
  <c r="J80" i="5"/>
  <c r="J78" i="5"/>
  <c r="J76" i="5"/>
  <c r="J74" i="5"/>
  <c r="J72" i="5"/>
  <c r="J70" i="5"/>
  <c r="J68" i="5"/>
  <c r="J66" i="5"/>
  <c r="J64" i="5"/>
  <c r="J62" i="5"/>
  <c r="J60" i="5"/>
  <c r="J58" i="5"/>
  <c r="J56" i="5"/>
  <c r="J54" i="5"/>
  <c r="J52" i="5"/>
  <c r="J50" i="5"/>
  <c r="J48" i="5"/>
  <c r="J46" i="5"/>
  <c r="J44" i="5"/>
  <c r="J42" i="5"/>
  <c r="J40" i="5"/>
  <c r="J38" i="5"/>
  <c r="J36" i="5"/>
  <c r="J34" i="5"/>
  <c r="J32" i="5"/>
  <c r="J30" i="5"/>
  <c r="J28" i="5"/>
  <c r="J26" i="5"/>
  <c r="J24" i="5"/>
  <c r="J22" i="5"/>
  <c r="J20" i="5"/>
  <c r="J18" i="5"/>
  <c r="J16" i="5"/>
  <c r="J14" i="5"/>
  <c r="J12" i="5"/>
  <c r="J10" i="5"/>
  <c r="J8" i="5"/>
  <c r="J6" i="5"/>
  <c r="J4" i="5"/>
  <c r="J2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2" i="5"/>
  <c r="H30" i="5"/>
  <c r="H2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3" i="5"/>
  <c r="D2" i="5"/>
  <c r="H175" i="5"/>
  <c r="F175" i="5"/>
  <c r="E175" i="5"/>
  <c r="H174" i="5"/>
  <c r="F174" i="5"/>
  <c r="E174" i="5"/>
  <c r="H173" i="5"/>
  <c r="F173" i="5"/>
  <c r="E173" i="5"/>
  <c r="H172" i="5"/>
  <c r="F172" i="5"/>
  <c r="E172" i="5"/>
  <c r="H171" i="5"/>
  <c r="F171" i="5"/>
  <c r="E171" i="5"/>
  <c r="H170" i="5"/>
  <c r="F170" i="5"/>
  <c r="E170" i="5"/>
  <c r="H169" i="5"/>
  <c r="F169" i="5"/>
  <c r="E169" i="5"/>
  <c r="H168" i="5"/>
  <c r="F168" i="5"/>
  <c r="E168" i="5"/>
  <c r="H167" i="5"/>
  <c r="F167" i="5"/>
  <c r="E167" i="5"/>
  <c r="H166" i="5"/>
  <c r="F166" i="5"/>
  <c r="E166" i="5"/>
  <c r="H165" i="5"/>
  <c r="F165" i="5"/>
  <c r="E165" i="5"/>
  <c r="H164" i="5"/>
  <c r="F164" i="5"/>
  <c r="E164" i="5"/>
  <c r="H163" i="5"/>
  <c r="F163" i="5"/>
  <c r="E163" i="5"/>
  <c r="H162" i="5"/>
  <c r="F162" i="5"/>
  <c r="E162" i="5"/>
  <c r="H161" i="5"/>
  <c r="F161" i="5"/>
  <c r="E161" i="5"/>
  <c r="H160" i="5"/>
  <c r="F160" i="5"/>
  <c r="E160" i="5"/>
  <c r="H159" i="5"/>
  <c r="F159" i="5"/>
  <c r="E159" i="5"/>
  <c r="H158" i="5"/>
  <c r="F158" i="5"/>
  <c r="E158" i="5"/>
  <c r="H157" i="5"/>
  <c r="F157" i="5"/>
  <c r="E157" i="5"/>
  <c r="H156" i="5"/>
  <c r="F156" i="5"/>
  <c r="E156" i="5"/>
  <c r="H155" i="5"/>
  <c r="F155" i="5"/>
  <c r="E155" i="5"/>
  <c r="H154" i="5"/>
  <c r="F154" i="5"/>
  <c r="E154" i="5"/>
  <c r="H153" i="5"/>
  <c r="F153" i="5"/>
  <c r="E153" i="5"/>
  <c r="H152" i="5"/>
  <c r="F152" i="5"/>
  <c r="E152" i="5"/>
  <c r="H149" i="5"/>
  <c r="F149" i="5"/>
  <c r="E149" i="5"/>
  <c r="H148" i="5"/>
  <c r="F148" i="5"/>
  <c r="E148" i="5"/>
  <c r="H147" i="5"/>
  <c r="F147" i="5"/>
  <c r="E147" i="5"/>
  <c r="H146" i="5"/>
  <c r="F146" i="5"/>
  <c r="E146" i="5"/>
  <c r="H145" i="5"/>
  <c r="F145" i="5"/>
  <c r="E145" i="5"/>
  <c r="H144" i="5"/>
  <c r="F144" i="5"/>
  <c r="E144" i="5"/>
  <c r="H143" i="5"/>
  <c r="F143" i="5"/>
  <c r="E143" i="5"/>
  <c r="H142" i="5"/>
  <c r="F142" i="5"/>
  <c r="E142" i="5"/>
  <c r="H141" i="5"/>
  <c r="F141" i="5"/>
  <c r="E141" i="5"/>
  <c r="H140" i="5"/>
  <c r="F140" i="5"/>
  <c r="E140" i="5"/>
  <c r="H139" i="5"/>
  <c r="F139" i="5"/>
  <c r="E139" i="5"/>
  <c r="H138" i="5"/>
  <c r="F138" i="5"/>
  <c r="E138" i="5"/>
  <c r="H137" i="5"/>
  <c r="F137" i="5"/>
  <c r="E137" i="5"/>
  <c r="H136" i="5"/>
  <c r="F136" i="5"/>
  <c r="E136" i="5"/>
  <c r="H135" i="5"/>
  <c r="F135" i="5"/>
  <c r="E135" i="5"/>
  <c r="H134" i="5"/>
  <c r="F134" i="5"/>
  <c r="E134" i="5"/>
  <c r="H133" i="5"/>
  <c r="F133" i="5"/>
  <c r="E133" i="5"/>
  <c r="H132" i="5"/>
  <c r="F132" i="5"/>
  <c r="E132" i="5"/>
  <c r="H131" i="5"/>
  <c r="F131" i="5"/>
  <c r="E131" i="5"/>
  <c r="H130" i="5"/>
  <c r="F130" i="5"/>
  <c r="E130" i="5"/>
  <c r="H129" i="5"/>
  <c r="F129" i="5"/>
  <c r="E129" i="5"/>
  <c r="H128" i="5"/>
  <c r="F128" i="5"/>
  <c r="E128" i="5"/>
  <c r="H127" i="5"/>
  <c r="F127" i="5"/>
  <c r="E127" i="5"/>
  <c r="H126" i="5"/>
  <c r="F126" i="5"/>
  <c r="E126" i="5"/>
  <c r="H123" i="5"/>
  <c r="F123" i="5"/>
  <c r="E123" i="5"/>
  <c r="H122" i="5"/>
  <c r="F122" i="5"/>
  <c r="E122" i="5"/>
  <c r="H121" i="5"/>
  <c r="F121" i="5"/>
  <c r="E121" i="5"/>
  <c r="H120" i="5"/>
  <c r="F120" i="5"/>
  <c r="E120" i="5"/>
  <c r="H119" i="5"/>
  <c r="F119" i="5"/>
  <c r="E119" i="5"/>
  <c r="H118" i="5"/>
  <c r="F118" i="5"/>
  <c r="E118" i="5"/>
  <c r="H117" i="5"/>
  <c r="F117" i="5"/>
  <c r="E117" i="5"/>
  <c r="H116" i="5"/>
  <c r="F116" i="5"/>
  <c r="E116" i="5"/>
  <c r="H115" i="5"/>
  <c r="F115" i="5"/>
  <c r="E115" i="5"/>
  <c r="H114" i="5"/>
  <c r="F114" i="5"/>
  <c r="E114" i="5"/>
  <c r="H113" i="5"/>
  <c r="F113" i="5"/>
  <c r="E113" i="5"/>
  <c r="H112" i="5"/>
  <c r="F112" i="5"/>
  <c r="E112" i="5"/>
  <c r="H111" i="5"/>
  <c r="F111" i="5"/>
  <c r="E111" i="5"/>
  <c r="H110" i="5"/>
  <c r="F110" i="5"/>
  <c r="E110" i="5"/>
  <c r="H109" i="5"/>
  <c r="F109" i="5"/>
  <c r="E109" i="5"/>
  <c r="H108" i="5"/>
  <c r="F108" i="5"/>
  <c r="E108" i="5"/>
  <c r="H107" i="5"/>
  <c r="F107" i="5"/>
  <c r="E107" i="5"/>
  <c r="H106" i="5"/>
  <c r="F106" i="5"/>
  <c r="E106" i="5"/>
  <c r="H105" i="5"/>
  <c r="F105" i="5"/>
  <c r="E105" i="5"/>
  <c r="H104" i="5"/>
  <c r="F104" i="5"/>
  <c r="E104" i="5"/>
  <c r="H103" i="5"/>
  <c r="F103" i="5"/>
  <c r="E103" i="5"/>
  <c r="H102" i="5"/>
  <c r="F102" i="5"/>
  <c r="E102" i="5"/>
  <c r="F101" i="5"/>
  <c r="F100" i="5"/>
  <c r="H101" i="5"/>
  <c r="E101" i="5"/>
  <c r="H100" i="5"/>
  <c r="E100" i="5"/>
  <c r="F97" i="5"/>
  <c r="E97" i="5"/>
  <c r="F95" i="5"/>
  <c r="E95" i="5"/>
  <c r="F93" i="5"/>
  <c r="E93" i="5"/>
  <c r="F91" i="5"/>
  <c r="E91" i="5"/>
  <c r="F89" i="5"/>
  <c r="E89" i="5"/>
  <c r="F87" i="5"/>
  <c r="E87" i="5"/>
  <c r="F85" i="5"/>
  <c r="E85" i="5"/>
  <c r="F83" i="5"/>
  <c r="E83" i="5"/>
  <c r="F81" i="5"/>
  <c r="E81" i="5"/>
  <c r="F79" i="5"/>
  <c r="E79" i="5"/>
  <c r="F77" i="5"/>
  <c r="E77" i="5"/>
  <c r="F75" i="5"/>
  <c r="E75" i="5"/>
  <c r="F73" i="5"/>
  <c r="E73" i="5"/>
  <c r="F71" i="5"/>
  <c r="E71" i="5"/>
  <c r="F69" i="5"/>
  <c r="E69" i="5"/>
  <c r="F67" i="5"/>
  <c r="E67" i="5"/>
  <c r="F65" i="5"/>
  <c r="E65" i="5"/>
  <c r="F63" i="5"/>
  <c r="E63" i="5"/>
  <c r="F61" i="5"/>
  <c r="E61" i="5"/>
  <c r="F59" i="5"/>
  <c r="E59" i="5"/>
  <c r="F57" i="5"/>
  <c r="E57" i="5"/>
  <c r="F55" i="5"/>
  <c r="E55" i="5"/>
  <c r="F53" i="5"/>
  <c r="E53" i="5"/>
  <c r="F51" i="5"/>
  <c r="E51" i="5"/>
  <c r="F49" i="5"/>
  <c r="E49" i="5"/>
  <c r="F47" i="5"/>
  <c r="E47" i="5"/>
  <c r="F45" i="5"/>
  <c r="E45" i="5"/>
  <c r="F43" i="5"/>
  <c r="E43" i="5"/>
  <c r="F41" i="5"/>
  <c r="E41" i="5"/>
  <c r="F39" i="5"/>
  <c r="E39" i="5"/>
  <c r="F37" i="5"/>
  <c r="E37" i="5"/>
  <c r="F35" i="5"/>
  <c r="E35" i="5"/>
  <c r="F33" i="5"/>
  <c r="E33" i="5"/>
  <c r="F31" i="5"/>
  <c r="E31" i="5"/>
  <c r="F29" i="5"/>
  <c r="E29" i="5"/>
  <c r="E82" i="5"/>
  <c r="F82" i="5"/>
  <c r="F27" i="5"/>
  <c r="E27" i="5"/>
  <c r="E25" i="5"/>
  <c r="F25" i="5"/>
  <c r="F23" i="5"/>
  <c r="E23" i="5"/>
  <c r="F21" i="5"/>
  <c r="E21" i="5"/>
  <c r="F19" i="5"/>
  <c r="E19" i="5"/>
  <c r="E18" i="5"/>
  <c r="F17" i="5"/>
  <c r="E17" i="5"/>
  <c r="F15" i="5"/>
  <c r="E15" i="5"/>
  <c r="F13" i="5"/>
  <c r="E13" i="5"/>
  <c r="F11" i="5"/>
  <c r="E11" i="5"/>
  <c r="F8" i="5"/>
  <c r="E9" i="5"/>
  <c r="E8" i="5"/>
  <c r="F7" i="5"/>
  <c r="E7" i="5"/>
  <c r="F5" i="5"/>
  <c r="E5" i="5"/>
  <c r="F3" i="5"/>
  <c r="E3" i="5"/>
  <c r="F2" i="5"/>
  <c r="E86" i="5" l="1"/>
  <c r="F96" i="5"/>
  <c r="E96" i="5"/>
  <c r="F94" i="5"/>
  <c r="E94" i="5"/>
  <c r="F92" i="5"/>
  <c r="E92" i="5"/>
  <c r="F90" i="5"/>
  <c r="E90" i="5"/>
  <c r="F88" i="5"/>
  <c r="E88" i="5"/>
  <c r="F84" i="5"/>
  <c r="E84" i="5"/>
  <c r="F78" i="5"/>
  <c r="E80" i="5"/>
  <c r="E78" i="5"/>
  <c r="F76" i="5"/>
  <c r="E76" i="5"/>
  <c r="F74" i="5"/>
  <c r="E74" i="5"/>
  <c r="F72" i="5"/>
  <c r="E72" i="5"/>
  <c r="F70" i="5"/>
  <c r="E70" i="5"/>
  <c r="F68" i="5"/>
  <c r="F66" i="5"/>
  <c r="E66" i="5"/>
  <c r="E68" i="5"/>
  <c r="F64" i="5"/>
  <c r="E64" i="5"/>
  <c r="F62" i="5"/>
  <c r="E62" i="5"/>
  <c r="F60" i="5"/>
  <c r="E60" i="5"/>
  <c r="F58" i="5"/>
  <c r="E58" i="5"/>
  <c r="F56" i="5"/>
  <c r="E56" i="5"/>
  <c r="F54" i="5"/>
  <c r="E54" i="5"/>
  <c r="F52" i="5"/>
  <c r="E52" i="5"/>
  <c r="F50" i="5"/>
  <c r="E50" i="5"/>
  <c r="F48" i="5"/>
  <c r="E48" i="5"/>
  <c r="F46" i="5"/>
  <c r="E46" i="5"/>
  <c r="F44" i="5"/>
  <c r="E44" i="5"/>
  <c r="F42" i="5"/>
  <c r="E42" i="5"/>
  <c r="F40" i="5"/>
  <c r="E40" i="5"/>
  <c r="F38" i="5"/>
  <c r="E38" i="5"/>
  <c r="F36" i="5"/>
  <c r="F34" i="5"/>
  <c r="E36" i="5"/>
  <c r="E34" i="5"/>
  <c r="F32" i="5"/>
  <c r="E32" i="5"/>
  <c r="F28" i="5"/>
  <c r="E28" i="5"/>
  <c r="F26" i="5"/>
  <c r="E26" i="5"/>
  <c r="F22" i="5"/>
  <c r="E22" i="5"/>
  <c r="F20" i="5"/>
  <c r="E20" i="5"/>
  <c r="F18" i="5"/>
  <c r="F16" i="5"/>
  <c r="E16" i="5"/>
  <c r="F14" i="5"/>
  <c r="E14" i="5"/>
  <c r="F12" i="5"/>
  <c r="E12" i="5"/>
  <c r="F10" i="5"/>
  <c r="E10" i="5"/>
  <c r="F6" i="5"/>
  <c r="E6" i="5"/>
  <c r="F4" i="5"/>
  <c r="E4" i="5"/>
  <c r="E2" i="5"/>
  <c r="F60" i="4"/>
  <c r="H60" i="4" s="1"/>
  <c r="E60" i="4"/>
  <c r="F59" i="4"/>
  <c r="H59" i="4" s="1"/>
  <c r="F58" i="4"/>
  <c r="H58" i="4" s="1"/>
  <c r="F57" i="4"/>
  <c r="H57" i="4" s="1"/>
  <c r="F56" i="4"/>
  <c r="H56" i="4" s="1"/>
  <c r="E56" i="4"/>
  <c r="F55" i="4"/>
  <c r="H55" i="4" s="1"/>
  <c r="E55" i="4"/>
  <c r="F54" i="4"/>
  <c r="H54" i="4" s="1"/>
  <c r="F53" i="4"/>
  <c r="H53" i="4" s="1"/>
  <c r="E54" i="4"/>
  <c r="F52" i="4"/>
  <c r="H52" i="4" s="1"/>
  <c r="F51" i="4"/>
  <c r="H51" i="4" s="1"/>
  <c r="E51" i="4"/>
  <c r="F50" i="4"/>
  <c r="H50" i="4" s="1"/>
  <c r="F49" i="4"/>
  <c r="H49" i="4" s="1"/>
  <c r="E50" i="4"/>
  <c r="F48" i="4"/>
  <c r="H48" i="4" s="1"/>
  <c r="E48" i="4"/>
  <c r="F47" i="4"/>
  <c r="H47" i="4" s="1"/>
  <c r="E47" i="4"/>
  <c r="F46" i="4"/>
  <c r="H46" i="4" s="1"/>
  <c r="E46" i="4"/>
  <c r="F45" i="4"/>
  <c r="H45" i="4" s="1"/>
  <c r="F44" i="4"/>
  <c r="H44" i="4" s="1"/>
  <c r="E44" i="4"/>
  <c r="F43" i="4"/>
  <c r="H43" i="4" s="1"/>
  <c r="E43" i="4"/>
  <c r="F42" i="4"/>
  <c r="H42" i="4" s="1"/>
  <c r="E42" i="4"/>
  <c r="F40" i="4"/>
  <c r="H40" i="4" s="1"/>
  <c r="F39" i="4"/>
  <c r="H39" i="4" s="1"/>
  <c r="F38" i="4"/>
  <c r="H38" i="4" s="1"/>
  <c r="F37" i="4"/>
  <c r="H37" i="4" s="1"/>
  <c r="E37" i="4"/>
  <c r="F36" i="4"/>
  <c r="H36" i="4" s="1"/>
  <c r="E36" i="4"/>
  <c r="F35" i="4"/>
  <c r="H35" i="4" s="1"/>
  <c r="F34" i="4"/>
  <c r="H34" i="4" s="1"/>
  <c r="F33" i="4"/>
  <c r="H33" i="4" s="1"/>
  <c r="F32" i="4"/>
  <c r="H32" i="4" s="1"/>
  <c r="F31" i="4"/>
  <c r="H31" i="4" s="1"/>
  <c r="F30" i="4"/>
  <c r="H30" i="4" s="1"/>
  <c r="E30" i="4"/>
  <c r="F29" i="4"/>
  <c r="H29" i="4" s="1"/>
  <c r="E29" i="4"/>
  <c r="F28" i="4"/>
  <c r="H28" i="4" s="1"/>
  <c r="F27" i="4"/>
  <c r="H27" i="4" s="1"/>
  <c r="F26" i="4"/>
  <c r="H26" i="4" s="1"/>
  <c r="E26" i="4"/>
  <c r="F25" i="4"/>
  <c r="H25" i="4" s="1"/>
  <c r="F24" i="4"/>
  <c r="H24" i="4" s="1"/>
  <c r="E24" i="4"/>
  <c r="F23" i="4"/>
  <c r="H23" i="4" s="1"/>
  <c r="E23" i="4"/>
  <c r="F22" i="4"/>
  <c r="H22" i="4" s="1"/>
  <c r="F21" i="4"/>
  <c r="H21" i="4" s="1"/>
  <c r="F20" i="4"/>
  <c r="H20" i="4" s="1"/>
  <c r="F19" i="4"/>
  <c r="H19" i="4" s="1"/>
  <c r="E19" i="4"/>
  <c r="F18" i="4"/>
  <c r="H18" i="4" s="1"/>
  <c r="E18" i="4"/>
  <c r="F17" i="4"/>
  <c r="H17" i="4" s="1"/>
  <c r="E17" i="4"/>
  <c r="F16" i="4"/>
  <c r="H16" i="4" s="1"/>
  <c r="E16" i="4"/>
  <c r="F15" i="4"/>
  <c r="H15" i="4" s="1"/>
  <c r="E15" i="4"/>
  <c r="F14" i="4"/>
  <c r="H14" i="4" s="1"/>
  <c r="F13" i="4"/>
  <c r="H13" i="4" s="1"/>
  <c r="F12" i="4"/>
  <c r="H12" i="4" s="1"/>
  <c r="E12" i="4"/>
  <c r="F11" i="4"/>
  <c r="H11" i="4" s="1"/>
  <c r="F10" i="4"/>
  <c r="H10" i="4" s="1"/>
  <c r="E10" i="4"/>
  <c r="F9" i="4"/>
  <c r="H9" i="4" s="1"/>
  <c r="E9" i="4"/>
  <c r="F8" i="4"/>
  <c r="H8" i="4" s="1"/>
  <c r="E8" i="4"/>
  <c r="F7" i="4"/>
  <c r="H7" i="4" s="1"/>
  <c r="E7" i="4"/>
  <c r="F2" i="4"/>
  <c r="H2" i="4" s="1"/>
  <c r="E2" i="4"/>
  <c r="F3" i="4"/>
  <c r="H3" i="4" s="1"/>
  <c r="E4" i="4"/>
  <c r="E3" i="4"/>
  <c r="N59" i="3"/>
  <c r="F80" i="5" s="1"/>
  <c r="P66" i="3" l="1"/>
  <c r="F86" i="5" s="1"/>
  <c r="D43" i="2"/>
  <c r="E34" i="4" s="1"/>
  <c r="D23" i="2"/>
  <c r="E27" i="4" s="1"/>
  <c r="N23" i="2"/>
  <c r="E53" i="4" s="1"/>
  <c r="L23" i="2"/>
  <c r="E49" i="4" s="1"/>
  <c r="H23" i="2"/>
  <c r="E35" i="4" s="1"/>
  <c r="F23" i="2"/>
  <c r="E28" i="4" s="1"/>
  <c r="D5" i="2"/>
  <c r="D2" i="4" s="1"/>
  <c r="N35" i="2"/>
  <c r="E59" i="4" s="1"/>
  <c r="P31" i="2"/>
  <c r="E58" i="4" s="1"/>
  <c r="N31" i="2"/>
  <c r="E57" i="4" s="1"/>
  <c r="L35" i="2"/>
  <c r="E52" i="4" s="1"/>
  <c r="J35" i="2"/>
  <c r="E45" i="4" s="1"/>
  <c r="H47" i="2"/>
  <c r="E41" i="4" s="1"/>
  <c r="H43" i="2"/>
  <c r="E40" i="4" s="1"/>
  <c r="H39" i="2"/>
  <c r="E39" i="4" s="1"/>
  <c r="H35" i="2"/>
  <c r="E38" i="4" s="1"/>
  <c r="F43" i="2"/>
  <c r="E33" i="4" s="1"/>
  <c r="F39" i="2"/>
  <c r="E32" i="4" s="1"/>
  <c r="F35" i="2"/>
  <c r="E31" i="4" s="1"/>
  <c r="P11" i="2"/>
  <c r="E25" i="4" s="1"/>
  <c r="N15" i="2"/>
  <c r="E22" i="4" s="1"/>
  <c r="L15" i="2"/>
  <c r="E21" i="4" s="1"/>
  <c r="N11" i="2"/>
  <c r="E20" i="4" s="1"/>
  <c r="J15" i="2"/>
  <c r="E14" i="4" s="1"/>
  <c r="H15" i="2"/>
  <c r="E13" i="4" s="1"/>
  <c r="H11" i="2"/>
  <c r="E11" i="4" s="1"/>
  <c r="F15" i="2"/>
  <c r="E6" i="4" s="1"/>
  <c r="F11" i="2"/>
  <c r="E5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8B12E4-71C6-42D2-9B85-823541F82F05}" keepAlive="1" name="Consulta - I  MP" description="Conexión a la consulta 'I  MP' en el libro." type="5" refreshedVersion="0" background="1">
    <dbPr connection="Provider=Microsoft.Mashup.OleDb.1;Data Source=$Workbook$;Location=&quot;I  MP&quot;;Extended Properties=&quot;&quot;" command="SELECT * FROM [I  MP]"/>
  </connection>
</connections>
</file>

<file path=xl/sharedStrings.xml><?xml version="1.0" encoding="utf-8"?>
<sst xmlns="http://schemas.openxmlformats.org/spreadsheetml/2006/main" count="1641" uniqueCount="395">
  <si>
    <t>Varios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</si>
  <si>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</si>
  <si>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</si>
  <si>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</si>
  <si>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</si>
  <si>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</si>
  <si>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</si>
  <si>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</si>
  <si>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</si>
  <si>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</si>
  <si>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-</t>
  </si>
  <si>
    <t>1K05240109373</t>
  </si>
  <si>
    <t xml:space="preserve">       </t>
  </si>
  <si>
    <t>Producto</t>
  </si>
  <si>
    <t>Lote</t>
  </si>
  <si>
    <t>A1</t>
  </si>
  <si>
    <t>Consome</t>
  </si>
  <si>
    <t>A2</t>
  </si>
  <si>
    <t>Mole almendrado</t>
  </si>
  <si>
    <t>Mole con Ajonjoli</t>
  </si>
  <si>
    <t>Mole Poblano</t>
  </si>
  <si>
    <t>Chipotles</t>
  </si>
  <si>
    <t>Cereza Materia prima</t>
  </si>
  <si>
    <t>Cereza Producto Final</t>
  </si>
  <si>
    <t>Rajas</t>
  </si>
  <si>
    <t>Empaques</t>
  </si>
  <si>
    <t>Abreviatura</t>
  </si>
  <si>
    <t>Mo.Al</t>
  </si>
  <si>
    <t>Mo.Aj</t>
  </si>
  <si>
    <t>Mo.Po</t>
  </si>
  <si>
    <t>C.M.P</t>
  </si>
  <si>
    <t>C.P.F</t>
  </si>
  <si>
    <t>Empaque</t>
  </si>
  <si>
    <t>A3</t>
  </si>
  <si>
    <t>B1</t>
  </si>
  <si>
    <t>B2</t>
  </si>
  <si>
    <t>B3</t>
  </si>
  <si>
    <t>C1</t>
  </si>
  <si>
    <t>C2</t>
  </si>
  <si>
    <t>C3</t>
  </si>
  <si>
    <t>D1</t>
  </si>
  <si>
    <t>D2</t>
  </si>
  <si>
    <t>D3</t>
  </si>
  <si>
    <t>E1</t>
  </si>
  <si>
    <t>E2</t>
  </si>
  <si>
    <t>E3</t>
  </si>
  <si>
    <t>E4</t>
  </si>
  <si>
    <t>F1</t>
  </si>
  <si>
    <t>E5</t>
  </si>
  <si>
    <t>01.05.25
15.04.25</t>
  </si>
  <si>
    <t>F2</t>
  </si>
  <si>
    <t>F3</t>
  </si>
  <si>
    <t>F4</t>
  </si>
  <si>
    <t>F5</t>
  </si>
  <si>
    <t>F6</t>
  </si>
  <si>
    <t>G1</t>
  </si>
  <si>
    <t>G2</t>
  </si>
  <si>
    <t>G3</t>
  </si>
  <si>
    <t>G4</t>
  </si>
  <si>
    <t>G5</t>
  </si>
  <si>
    <t>G6</t>
  </si>
  <si>
    <t>H1</t>
  </si>
  <si>
    <t>H2</t>
  </si>
  <si>
    <t>H3</t>
  </si>
  <si>
    <t>I1</t>
  </si>
  <si>
    <t>15.04.25
15.05.25
01.03.25</t>
  </si>
  <si>
    <t>Chipotle</t>
  </si>
  <si>
    <t>01.03.25
15.05.25</t>
  </si>
  <si>
    <t>A0</t>
  </si>
  <si>
    <t>B0</t>
  </si>
  <si>
    <t>C0</t>
  </si>
  <si>
    <t>D0</t>
  </si>
  <si>
    <t>E0</t>
  </si>
  <si>
    <t>F0</t>
  </si>
  <si>
    <t>G0</t>
  </si>
  <si>
    <t>H0</t>
  </si>
  <si>
    <t>I0</t>
  </si>
  <si>
    <t>Aceite</t>
  </si>
  <si>
    <t>Azucar</t>
  </si>
  <si>
    <t>Canela</t>
  </si>
  <si>
    <t>Chocolate</t>
  </si>
  <si>
    <t>Sal</t>
  </si>
  <si>
    <t>Cacahuate</t>
  </si>
  <si>
    <t>Galleta</t>
  </si>
  <si>
    <t>Clavo</t>
  </si>
  <si>
    <t>PVH</t>
  </si>
  <si>
    <t>Ajo molido</t>
  </si>
  <si>
    <t>Laurel</t>
  </si>
  <si>
    <t>Oregano</t>
  </si>
  <si>
    <t>Materia</t>
  </si>
  <si>
    <t xml:space="preserve">Chipotle </t>
  </si>
  <si>
    <t>Chile pasilla</t>
  </si>
  <si>
    <t>Platano</t>
  </si>
  <si>
    <t>Chipotle 
Curcuma</t>
  </si>
  <si>
    <t>Pepita</t>
  </si>
  <si>
    <t>Ajonjoli B</t>
  </si>
  <si>
    <t>Ajonjoli N</t>
  </si>
  <si>
    <t>J</t>
  </si>
  <si>
    <t>K</t>
  </si>
  <si>
    <t>L</t>
  </si>
  <si>
    <t>M</t>
  </si>
  <si>
    <t>M1</t>
  </si>
  <si>
    <t>J1</t>
  </si>
  <si>
    <t>K1</t>
  </si>
  <si>
    <t>L1</t>
  </si>
  <si>
    <t>I3</t>
  </si>
  <si>
    <t>L2</t>
  </si>
  <si>
    <t>M2</t>
  </si>
  <si>
    <t>M3</t>
  </si>
  <si>
    <t>M4</t>
  </si>
  <si>
    <t>N</t>
  </si>
  <si>
    <t>N1</t>
  </si>
  <si>
    <t>J4</t>
  </si>
  <si>
    <t>maseca</t>
  </si>
  <si>
    <t>ANIS</t>
  </si>
  <si>
    <t xml:space="preserve">Ajonjoli N </t>
  </si>
  <si>
    <t xml:space="preserve">
Cacahuate</t>
  </si>
  <si>
    <t>Nivel</t>
  </si>
  <si>
    <t xml:space="preserve">Espacio </t>
  </si>
  <si>
    <t>Cantidad (pz)</t>
  </si>
  <si>
    <t xml:space="preserve">Lote anexado </t>
  </si>
  <si>
    <t>Observaciones</t>
  </si>
  <si>
    <t>010425</t>
  </si>
  <si>
    <t>150525</t>
  </si>
  <si>
    <t>010625</t>
  </si>
  <si>
    <t>150425</t>
  </si>
  <si>
    <t>010525</t>
  </si>
  <si>
    <t>151124</t>
  </si>
  <si>
    <t>150325</t>
  </si>
  <si>
    <t>150225</t>
  </si>
  <si>
    <t>O</t>
  </si>
  <si>
    <t>P</t>
  </si>
  <si>
    <t>Q</t>
  </si>
  <si>
    <t>R</t>
  </si>
  <si>
    <t>S</t>
  </si>
  <si>
    <t>T</t>
  </si>
  <si>
    <t>U</t>
  </si>
  <si>
    <t>V</t>
  </si>
  <si>
    <t>W</t>
  </si>
  <si>
    <t>K-1</t>
  </si>
  <si>
    <t>K0</t>
  </si>
  <si>
    <t>K2</t>
  </si>
  <si>
    <t>K3</t>
  </si>
  <si>
    <t>K4</t>
  </si>
  <si>
    <t>J2</t>
  </si>
  <si>
    <t>J3</t>
  </si>
  <si>
    <t>L-1</t>
  </si>
  <si>
    <t>L0</t>
  </si>
  <si>
    <t>L3</t>
  </si>
  <si>
    <t>L4</t>
  </si>
  <si>
    <t>O0</t>
  </si>
  <si>
    <t>P0</t>
  </si>
  <si>
    <t>O2</t>
  </si>
  <si>
    <t>O1</t>
  </si>
  <si>
    <t>O3</t>
  </si>
  <si>
    <t>O4</t>
  </si>
  <si>
    <t>P1</t>
  </si>
  <si>
    <t>P2</t>
  </si>
  <si>
    <t>P3</t>
  </si>
  <si>
    <t>P4</t>
  </si>
  <si>
    <t>Q1</t>
  </si>
  <si>
    <t>R1</t>
  </si>
  <si>
    <t>R3</t>
  </si>
  <si>
    <t>S1</t>
  </si>
  <si>
    <t>T1</t>
  </si>
  <si>
    <t>U1</t>
  </si>
  <si>
    <t>U2</t>
  </si>
  <si>
    <t>V1</t>
  </si>
  <si>
    <t>V2</t>
  </si>
  <si>
    <t>V3</t>
  </si>
  <si>
    <t>V4</t>
  </si>
  <si>
    <t>W1</t>
  </si>
  <si>
    <t>W2</t>
  </si>
  <si>
    <t>W3</t>
  </si>
  <si>
    <t>W4</t>
  </si>
  <si>
    <t>B0I</t>
  </si>
  <si>
    <t>B0D</t>
  </si>
  <si>
    <t>B1I</t>
  </si>
  <si>
    <t>B1D</t>
  </si>
  <si>
    <t>B2I</t>
  </si>
  <si>
    <t>B2D</t>
  </si>
  <si>
    <t>B3I</t>
  </si>
  <si>
    <t>B3D</t>
  </si>
  <si>
    <t>Cantidad (cj)</t>
  </si>
  <si>
    <t>A-1</t>
  </si>
  <si>
    <t>C1I</t>
  </si>
  <si>
    <t>C1D</t>
  </si>
  <si>
    <t>C2I</t>
  </si>
  <si>
    <t>C2D</t>
  </si>
  <si>
    <t>C3I</t>
  </si>
  <si>
    <t>C3D</t>
  </si>
  <si>
    <t>C0I</t>
  </si>
  <si>
    <t>C0D</t>
  </si>
  <si>
    <t>E-1</t>
  </si>
  <si>
    <t>E-5</t>
  </si>
  <si>
    <t>I0I</t>
  </si>
  <si>
    <t>I0D</t>
  </si>
  <si>
    <t>I1I</t>
  </si>
  <si>
    <t>I1D</t>
  </si>
  <si>
    <t>I2I</t>
  </si>
  <si>
    <t>I2D</t>
  </si>
  <si>
    <t>I3I</t>
  </si>
  <si>
    <t>I3D</t>
  </si>
  <si>
    <t>I2</t>
  </si>
  <si>
    <t>Rack</t>
  </si>
  <si>
    <t>Almacen</t>
  </si>
  <si>
    <t>Peso por pieza</t>
  </si>
  <si>
    <t>PLANTA BAJA</t>
  </si>
  <si>
    <t>R2</t>
  </si>
  <si>
    <t>S2</t>
  </si>
  <si>
    <t>PLANTA ALTA</t>
  </si>
  <si>
    <t>Total Kilogramos</t>
  </si>
  <si>
    <t>Cantidad Actualizada</t>
  </si>
  <si>
    <t>SALIDA DE ALMACEN</t>
  </si>
  <si>
    <t>PRODUCTO</t>
  </si>
  <si>
    <t>6/16/2025</t>
  </si>
  <si>
    <t>6/17/2025</t>
  </si>
  <si>
    <t>6/18/2025</t>
  </si>
  <si>
    <t>6/19/2025</t>
  </si>
  <si>
    <t>6/20/2025</t>
  </si>
  <si>
    <t>6/23/2025</t>
  </si>
  <si>
    <t>6/24/2025</t>
  </si>
  <si>
    <t>6/25/2025</t>
  </si>
  <si>
    <t>6/26/2025</t>
  </si>
  <si>
    <t>6/27/2025</t>
  </si>
  <si>
    <t>6/30/2025</t>
  </si>
  <si>
    <t>Aceite (litros)</t>
  </si>
  <si>
    <t>Ajonjoli blanco (kg)</t>
  </si>
  <si>
    <t>Ajonjoli negro (kg)</t>
  </si>
  <si>
    <t>Almidón</t>
  </si>
  <si>
    <t>Anis (kg)</t>
  </si>
  <si>
    <t>Azucar (kg)</t>
  </si>
  <si>
    <t>Benzoato</t>
  </si>
  <si>
    <t>Cacahuate (kg)</t>
  </si>
  <si>
    <t>Canela (kg)</t>
  </si>
  <si>
    <t>Caramelo (L)</t>
  </si>
  <si>
    <t>Cebolla molida</t>
  </si>
  <si>
    <t>Chile ancho</t>
  </si>
  <si>
    <t>Chile chipotle</t>
  </si>
  <si>
    <t>Chile guajillo</t>
  </si>
  <si>
    <t>Chile pasilla molido (kg)</t>
  </si>
  <si>
    <t>Chocolate (kg)</t>
  </si>
  <si>
    <t>Clavo (kg)</t>
  </si>
  <si>
    <t>Comino</t>
  </si>
  <si>
    <t>Comino en polvo</t>
  </si>
  <si>
    <t>Cocoa (kg)</t>
  </si>
  <si>
    <t>Curcuma</t>
  </si>
  <si>
    <t>Esencia de almendra (L)</t>
  </si>
  <si>
    <t>Esencia de nuez (L)</t>
  </si>
  <si>
    <t>Galleta (kg)</t>
  </si>
  <si>
    <t>Glicepol (kg)</t>
  </si>
  <si>
    <t>Glutamato</t>
  </si>
  <si>
    <t>Laca (amarillo No 5)</t>
  </si>
  <si>
    <t>Maltodextrina</t>
  </si>
  <si>
    <t>Maseca (kg)</t>
  </si>
  <si>
    <t>Oleorresina (L)</t>
  </si>
  <si>
    <t>Pepita (kg)</t>
  </si>
  <si>
    <t>Perejil</t>
  </si>
  <si>
    <t>Platano (kg)</t>
  </si>
  <si>
    <t>Sal (kg)</t>
  </si>
  <si>
    <t>Sorbato</t>
  </si>
  <si>
    <t>Acido Acetico</t>
  </si>
  <si>
    <t>Cereza Bote</t>
  </si>
  <si>
    <t>Lote 2</t>
  </si>
  <si>
    <t>Lote 1</t>
  </si>
  <si>
    <t>Materia Prima Planta Baja</t>
  </si>
  <si>
    <t>Almacen Materia Prima Planta Alta</t>
  </si>
  <si>
    <t>Total Cantidad</t>
  </si>
  <si>
    <t>Cantidad (kg)</t>
  </si>
  <si>
    <t>Bultos</t>
  </si>
  <si>
    <t>LOTES</t>
  </si>
  <si>
    <t>Ajonjoli</t>
  </si>
  <si>
    <t>AA</t>
  </si>
  <si>
    <t>BB</t>
  </si>
  <si>
    <t>CC</t>
  </si>
  <si>
    <t>DD</t>
  </si>
  <si>
    <t>AA1</t>
  </si>
  <si>
    <t>BB1</t>
  </si>
  <si>
    <t>CC1</t>
  </si>
  <si>
    <t>DD1</t>
  </si>
  <si>
    <t>Cantidad(kg)</t>
  </si>
  <si>
    <t>AA2</t>
  </si>
  <si>
    <t>BB2</t>
  </si>
  <si>
    <t>CC2</t>
  </si>
  <si>
    <t>DD2</t>
  </si>
  <si>
    <t>AA3</t>
  </si>
  <si>
    <t>BB3</t>
  </si>
  <si>
    <t>CC3</t>
  </si>
  <si>
    <t>DD3</t>
  </si>
  <si>
    <t>EE</t>
  </si>
  <si>
    <t>FF</t>
  </si>
  <si>
    <t>GG</t>
  </si>
  <si>
    <t>HH</t>
  </si>
  <si>
    <t>II</t>
  </si>
  <si>
    <t>JJ</t>
  </si>
  <si>
    <t>KK</t>
  </si>
  <si>
    <t>LL</t>
  </si>
  <si>
    <t>EE1</t>
  </si>
  <si>
    <t>EE2</t>
  </si>
  <si>
    <t>EE3</t>
  </si>
  <si>
    <t>FF1</t>
  </si>
  <si>
    <t>FF2</t>
  </si>
  <si>
    <t>FF3</t>
  </si>
  <si>
    <t>GG1</t>
  </si>
  <si>
    <t>GG2</t>
  </si>
  <si>
    <t>GG3</t>
  </si>
  <si>
    <t>HH1</t>
  </si>
  <si>
    <t>HH2</t>
  </si>
  <si>
    <t>HH3</t>
  </si>
  <si>
    <t>II1</t>
  </si>
  <si>
    <t>II2</t>
  </si>
  <si>
    <t>II3</t>
  </si>
  <si>
    <t>JJ1</t>
  </si>
  <si>
    <t>JJ2</t>
  </si>
  <si>
    <t>JJ3</t>
  </si>
  <si>
    <t>KK1</t>
  </si>
  <si>
    <t>KK2</t>
  </si>
  <si>
    <t>KK3</t>
  </si>
  <si>
    <t>LL1</t>
  </si>
  <si>
    <t>LL2</t>
  </si>
  <si>
    <t>LL3</t>
  </si>
  <si>
    <t>Cantidad(Pz)</t>
  </si>
  <si>
    <t>5KG</t>
  </si>
  <si>
    <t>6KG</t>
  </si>
  <si>
    <t>10 KG</t>
  </si>
  <si>
    <t>3 kg</t>
  </si>
  <si>
    <t>2 kg</t>
  </si>
  <si>
    <t>1 kg</t>
  </si>
  <si>
    <t>Rack 3</t>
  </si>
  <si>
    <t>Presentaciòn</t>
  </si>
  <si>
    <t>Cantidad (PZ)</t>
  </si>
  <si>
    <t>1KG</t>
  </si>
  <si>
    <t>2KG</t>
  </si>
  <si>
    <t>3KG</t>
  </si>
  <si>
    <t>5KG(Premium)</t>
  </si>
  <si>
    <t>10KG</t>
  </si>
  <si>
    <t>RACK 3</t>
  </si>
  <si>
    <t>Premium 5KG</t>
  </si>
  <si>
    <t>ALMACEN EN PROCESO 1</t>
  </si>
  <si>
    <t>Almacen en proceso 1</t>
  </si>
  <si>
    <t>Almacen en proceso 2</t>
  </si>
  <si>
    <t>Almacen en proceso 3</t>
  </si>
  <si>
    <t>Espacio</t>
  </si>
  <si>
    <t>Cantidad Ocupada</t>
  </si>
  <si>
    <t>Total</t>
  </si>
  <si>
    <t>ALMACEN EN PROCESO 2</t>
  </si>
  <si>
    <t>ALMACEN EN PROCESO 3</t>
  </si>
  <si>
    <t>Cantidad(pz)</t>
  </si>
  <si>
    <t>Mo.Al 1</t>
  </si>
  <si>
    <t>Mo.Al 2</t>
  </si>
  <si>
    <t>Mo.Aj 1</t>
  </si>
  <si>
    <t>Mo. Aj 2</t>
  </si>
  <si>
    <t>Mo.Po 1</t>
  </si>
  <si>
    <t>Mo.Po 2</t>
  </si>
  <si>
    <t>Pipian</t>
  </si>
  <si>
    <t>PI2</t>
  </si>
  <si>
    <t>PI1</t>
  </si>
  <si>
    <t>PI3</t>
  </si>
  <si>
    <t>x</t>
  </si>
  <si>
    <t>=PF!$F$5</t>
  </si>
  <si>
    <t>=PF!$F$13</t>
  </si>
  <si>
    <t>=PF!$P$5</t>
  </si>
  <si>
    <t>=PF!$D$25</t>
  </si>
  <si>
    <t>=PF!$F$25</t>
  </si>
  <si>
    <t>=PF!$D$45</t>
  </si>
  <si>
    <t>=PF!$H$25</t>
  </si>
  <si>
    <t>=PF!$L$25</t>
  </si>
  <si>
    <t>=PF!$N$25</t>
  </si>
  <si>
    <t>=PF!$P$25</t>
  </si>
  <si>
    <t>=PF!$P$29</t>
  </si>
  <si>
    <t>=PF!$P$33</t>
  </si>
  <si>
    <t>=PF!$N$37</t>
  </si>
  <si>
    <t xml:space="preserve">Moles a Granel </t>
  </si>
  <si>
    <t>Mo.Aj 2</t>
  </si>
  <si>
    <t>Cantidad (Kg)</t>
  </si>
  <si>
    <t>Cantidad empaquetada</t>
  </si>
  <si>
    <t>Kilo por pieza</t>
  </si>
  <si>
    <t>Moles a Granel</t>
  </si>
  <si>
    <t>Posición</t>
  </si>
  <si>
    <t>Cantidad(Kg)</t>
  </si>
  <si>
    <t>Mole</t>
  </si>
  <si>
    <t>Ajo Molido</t>
  </si>
  <si>
    <t>Cantidad empaquetada(Kg)</t>
  </si>
  <si>
    <t>Curcuma y laca</t>
  </si>
  <si>
    <t>Laca</t>
  </si>
  <si>
    <t xml:space="preserve">Almidon </t>
  </si>
  <si>
    <t>Cebolla Molida</t>
  </si>
  <si>
    <t>Materiales (kg)</t>
  </si>
  <si>
    <t>Fecula de Almidòn</t>
  </si>
  <si>
    <t>Unidades(pz)</t>
  </si>
  <si>
    <t>Unidades (pz)</t>
  </si>
  <si>
    <t xml:space="preserve">Anis </t>
  </si>
  <si>
    <t xml:space="preserve">Canela </t>
  </si>
  <si>
    <t xml:space="preserve">Consome </t>
  </si>
  <si>
    <t>Unidades(Pz)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</si>
</sst>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7"/>
      <color theme="1"/>
      <name val="Calibri"/>
      <family val="2"/>
    </font>
    <font>
      <b/>
      <sz val="13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488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rgb="FF000000"/>
      </left>
      <right/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/>
      <diagonal/>
    </border>
    <border>
      <left style="medium">
        <color rgb="FFCCCCCC"/>
      </left>
      <right style="medium">
        <color indexed="64"/>
      </right>
      <top style="medium">
        <color indexed="64"/>
      </top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medium">
        <color rgb="FFCCCCCC"/>
      </left>
      <right/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42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0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49" fontId="1" fillId="5" borderId="1" xfId="0" applyNumberFormat="1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0" borderId="0" xfId="0" applyBorder="1"/>
    <xf numFmtId="49" fontId="0" fillId="0" borderId="0" xfId="0" applyNumberFormat="1" applyBorder="1" applyAlignment="1">
      <alignment horizontal="center" vertical="center"/>
    </xf>
    <xf numFmtId="0" fontId="0" fillId="0" borderId="8" xfId="0" applyBorder="1" applyAlignment="1"/>
    <xf numFmtId="0" fontId="0" fillId="0" borderId="13" xfId="0" applyBorder="1" applyAlignment="1">
      <alignment horizontal="center" vertical="center"/>
    </xf>
    <xf numFmtId="0" fontId="0" fillId="0" borderId="14" xfId="0" applyBorder="1"/>
    <xf numFmtId="0" fontId="0" fillId="6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0" fillId="7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1" xfId="0" applyBorder="1" applyAlignment="1"/>
    <xf numFmtId="0" fontId="0" fillId="3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/>
    </xf>
    <xf numFmtId="0" fontId="0" fillId="1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wrapText="1"/>
    </xf>
    <xf numFmtId="0" fontId="0" fillId="6" borderId="8" xfId="0" applyFill="1" applyBorder="1" applyAlignment="1">
      <alignment horizontal="center" wrapText="1"/>
    </xf>
    <xf numFmtId="0" fontId="0" fillId="7" borderId="10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8" borderId="4" xfId="0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/>
    </xf>
    <xf numFmtId="0" fontId="0" fillId="0" borderId="12" xfId="0" applyBorder="1"/>
    <xf numFmtId="0" fontId="0" fillId="0" borderId="11" xfId="0" applyBorder="1"/>
    <xf numFmtId="0" fontId="0" fillId="0" borderId="6" xfId="0" applyBorder="1"/>
    <xf numFmtId="0" fontId="0" fillId="0" borderId="9" xfId="0" applyBorder="1"/>
    <xf numFmtId="0" fontId="0" fillId="2" borderId="1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7" borderId="1" xfId="0" applyFill="1" applyBorder="1" applyAlignment="1">
      <alignment horizontal="center" wrapText="1"/>
    </xf>
    <xf numFmtId="0" fontId="0" fillId="3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4" borderId="4" xfId="0" applyFill="1" applyBorder="1"/>
    <xf numFmtId="0" fontId="0" fillId="6" borderId="1" xfId="0" applyFill="1" applyBorder="1" applyAlignment="1"/>
    <xf numFmtId="0" fontId="1" fillId="0" borderId="1" xfId="0" applyFont="1" applyFill="1" applyBorder="1" applyAlignment="1">
      <alignment horizontal="center" wrapText="1"/>
    </xf>
    <xf numFmtId="49" fontId="0" fillId="2" borderId="1" xfId="0" applyNumberFormat="1" applyFill="1" applyBorder="1" applyAlignment="1">
      <alignment horizontal="center"/>
    </xf>
    <xf numFmtId="49" fontId="0" fillId="7" borderId="1" xfId="0" applyNumberForma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49" fontId="0" fillId="7" borderId="2" xfId="0" applyNumberFormat="1" applyFill="1" applyBorder="1" applyAlignment="1">
      <alignment horizontal="center"/>
    </xf>
    <xf numFmtId="49" fontId="0" fillId="3" borderId="1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49" fontId="0" fillId="2" borderId="5" xfId="0" applyNumberFormat="1" applyFill="1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49" fontId="0" fillId="6" borderId="5" xfId="0" applyNumberFormat="1" applyFill="1" applyBorder="1" applyAlignment="1">
      <alignment horizontal="center"/>
    </xf>
    <xf numFmtId="49" fontId="0" fillId="6" borderId="2" xfId="0" applyNumberForma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/>
    </xf>
    <xf numFmtId="49" fontId="0" fillId="5" borderId="2" xfId="0" applyNumberFormat="1" applyFill="1" applyBorder="1" applyAlignment="1">
      <alignment horizontal="center"/>
    </xf>
    <xf numFmtId="49" fontId="0" fillId="4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/>
    </xf>
    <xf numFmtId="49" fontId="0" fillId="8" borderId="1" xfId="0" applyNumberFormat="1" applyFill="1" applyBorder="1" applyAlignment="1">
      <alignment horizontal="center" wrapText="1"/>
    </xf>
    <xf numFmtId="49" fontId="0" fillId="2" borderId="1" xfId="0" applyNumberFormat="1" applyFill="1" applyBorder="1" applyAlignment="1">
      <alignment horizontal="center" wrapText="1"/>
    </xf>
    <xf numFmtId="0" fontId="0" fillId="7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6" borderId="3" xfId="0" applyFill="1" applyBorder="1" applyAlignment="1"/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/>
    <xf numFmtId="0" fontId="0" fillId="5" borderId="1" xfId="0" applyFill="1" applyBorder="1" applyAlignment="1"/>
    <xf numFmtId="0" fontId="0" fillId="3" borderId="1" xfId="0" applyFill="1" applyBorder="1" applyAlignment="1"/>
    <xf numFmtId="0" fontId="0" fillId="5" borderId="1" xfId="0" applyFill="1" applyBorder="1" applyAlignment="1">
      <alignment vertical="center"/>
    </xf>
    <xf numFmtId="0" fontId="0" fillId="4" borderId="1" xfId="0" applyFill="1" applyBorder="1" applyAlignment="1"/>
    <xf numFmtId="0" fontId="0" fillId="6" borderId="1" xfId="0" applyFill="1" applyBorder="1" applyAlignment="1">
      <alignment horizontal="left"/>
    </xf>
    <xf numFmtId="0" fontId="0" fillId="2" borderId="1" xfId="0" applyFill="1" applyBorder="1" applyAlignment="1"/>
    <xf numFmtId="0" fontId="0" fillId="8" borderId="1" xfId="0" applyFill="1" applyBorder="1" applyAlignment="1"/>
    <xf numFmtId="0" fontId="0" fillId="0" borderId="1" xfId="0" applyBorder="1" applyAlignment="1">
      <alignment horizontal="center" vertical="center"/>
    </xf>
    <xf numFmtId="0" fontId="0" fillId="11" borderId="1" xfId="0" applyFill="1" applyBorder="1" applyAlignment="1"/>
    <xf numFmtId="0" fontId="0" fillId="2" borderId="13" xfId="0" applyFill="1" applyBorder="1"/>
    <xf numFmtId="0" fontId="1" fillId="5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49" fontId="1" fillId="7" borderId="2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/>
    </xf>
    <xf numFmtId="49" fontId="0" fillId="7" borderId="1" xfId="0" applyNumberFormat="1" applyFill="1" applyBorder="1" applyAlignment="1">
      <alignment horizontal="center" vertical="center"/>
    </xf>
    <xf numFmtId="0" fontId="3" fillId="14" borderId="16" xfId="0" applyFont="1" applyFill="1" applyBorder="1" applyAlignment="1">
      <alignment horizontal="center" vertical="center" wrapText="1"/>
    </xf>
    <xf numFmtId="0" fontId="3" fillId="14" borderId="10" xfId="0" applyFont="1" applyFill="1" applyBorder="1" applyAlignment="1">
      <alignment horizontal="center" vertical="center" wrapText="1"/>
    </xf>
    <xf numFmtId="14" fontId="4" fillId="14" borderId="18" xfId="0" applyNumberFormat="1" applyFont="1" applyFill="1" applyBorder="1" applyAlignment="1">
      <alignment horizontal="center" vertical="center" wrapText="1"/>
    </xf>
    <xf numFmtId="14" fontId="4" fillId="14" borderId="19" xfId="0" applyNumberFormat="1" applyFont="1" applyFill="1" applyBorder="1" applyAlignment="1">
      <alignment horizontal="center" vertical="center" wrapText="1"/>
    </xf>
    <xf numFmtId="0" fontId="5" fillId="0" borderId="21" xfId="0" applyFont="1" applyBorder="1" applyAlignment="1">
      <alignment vertical="center" wrapText="1"/>
    </xf>
    <xf numFmtId="0" fontId="6" fillId="0" borderId="22" xfId="0" applyFont="1" applyBorder="1" applyAlignment="1">
      <alignment horizontal="right" wrapText="1"/>
    </xf>
    <xf numFmtId="0" fontId="6" fillId="0" borderId="23" xfId="0" applyFont="1" applyBorder="1" applyAlignment="1">
      <alignment horizontal="right" wrapText="1"/>
    </xf>
    <xf numFmtId="0" fontId="7" fillId="0" borderId="23" xfId="0" applyFont="1" applyBorder="1" applyAlignment="1">
      <alignment wrapText="1"/>
    </xf>
    <xf numFmtId="0" fontId="7" fillId="0" borderId="24" xfId="0" applyFont="1" applyBorder="1" applyAlignment="1">
      <alignment wrapText="1"/>
    </xf>
    <xf numFmtId="0" fontId="5" fillId="15" borderId="17" xfId="0" applyFont="1" applyFill="1" applyBorder="1" applyAlignment="1">
      <alignment vertical="center" wrapText="1"/>
    </xf>
    <xf numFmtId="0" fontId="7" fillId="0" borderId="27" xfId="0" applyFont="1" applyBorder="1" applyAlignment="1">
      <alignment wrapText="1"/>
    </xf>
    <xf numFmtId="0" fontId="7" fillId="0" borderId="28" xfId="0" applyFont="1" applyBorder="1" applyAlignment="1">
      <alignment wrapText="1"/>
    </xf>
    <xf numFmtId="0" fontId="7" fillId="0" borderId="29" xfId="0" applyFont="1" applyBorder="1" applyAlignment="1">
      <alignment wrapText="1"/>
    </xf>
    <xf numFmtId="0" fontId="5" fillId="15" borderId="10" xfId="0" applyFont="1" applyFill="1" applyBorder="1" applyAlignment="1">
      <alignment vertical="center" wrapText="1"/>
    </xf>
    <xf numFmtId="0" fontId="7" fillId="0" borderId="18" xfId="0" applyFont="1" applyBorder="1" applyAlignment="1">
      <alignment wrapText="1"/>
    </xf>
    <xf numFmtId="0" fontId="7" fillId="0" borderId="19" xfId="0" applyFont="1" applyBorder="1" applyAlignment="1">
      <alignment wrapText="1"/>
    </xf>
    <xf numFmtId="0" fontId="5" fillId="15" borderId="33" xfId="0" applyFont="1" applyFill="1" applyBorder="1" applyAlignment="1">
      <alignment vertical="center" wrapText="1"/>
    </xf>
    <xf numFmtId="0" fontId="4" fillId="14" borderId="19" xfId="0" applyFont="1" applyFill="1" applyBorder="1" applyAlignment="1">
      <alignment horizontal="center" vertical="center" wrapText="1"/>
    </xf>
    <xf numFmtId="0" fontId="7" fillId="0" borderId="35" xfId="0" applyFont="1" applyBorder="1" applyAlignment="1">
      <alignment wrapText="1"/>
    </xf>
    <xf numFmtId="0" fontId="7" fillId="0" borderId="36" xfId="0" applyFont="1" applyBorder="1" applyAlignment="1">
      <alignment wrapText="1"/>
    </xf>
    <xf numFmtId="0" fontId="7" fillId="0" borderId="34" xfId="0" applyFont="1" applyBorder="1" applyAlignment="1">
      <alignment wrapText="1"/>
    </xf>
    <xf numFmtId="0" fontId="7" fillId="0" borderId="22" xfId="0" applyFont="1" applyBorder="1" applyAlignment="1">
      <alignment wrapText="1"/>
    </xf>
    <xf numFmtId="0" fontId="5" fillId="0" borderId="17" xfId="0" applyFont="1" applyBorder="1" applyAlignment="1">
      <alignment vertical="center" wrapText="1"/>
    </xf>
    <xf numFmtId="0" fontId="6" fillId="0" borderId="27" xfId="0" applyFont="1" applyBorder="1" applyAlignment="1">
      <alignment horizontal="right" wrapText="1"/>
    </xf>
    <xf numFmtId="0" fontId="6" fillId="0" borderId="28" xfId="0" applyFont="1" applyBorder="1" applyAlignment="1">
      <alignment horizontal="right" wrapText="1"/>
    </xf>
    <xf numFmtId="0" fontId="6" fillId="0" borderId="24" xfId="0" applyFont="1" applyBorder="1" applyAlignment="1">
      <alignment horizontal="right" wrapText="1"/>
    </xf>
    <xf numFmtId="0" fontId="6" fillId="0" borderId="29" xfId="0" applyFont="1" applyBorder="1" applyAlignment="1">
      <alignment horizontal="right" wrapText="1"/>
    </xf>
    <xf numFmtId="0" fontId="5" fillId="15" borderId="3" xfId="0" applyFont="1" applyFill="1" applyBorder="1" applyAlignment="1">
      <alignment vertical="center" wrapText="1"/>
    </xf>
    <xf numFmtId="0" fontId="5" fillId="15" borderId="21" xfId="0" applyFont="1" applyFill="1" applyBorder="1" applyAlignment="1">
      <alignment vertical="center" wrapText="1"/>
    </xf>
    <xf numFmtId="0" fontId="6" fillId="15" borderId="23" xfId="0" applyFont="1" applyFill="1" applyBorder="1" applyAlignment="1">
      <alignment horizontal="right" wrapText="1"/>
    </xf>
    <xf numFmtId="0" fontId="6" fillId="15" borderId="28" xfId="0" applyFont="1" applyFill="1" applyBorder="1" applyAlignment="1">
      <alignment horizontal="right" wrapText="1"/>
    </xf>
    <xf numFmtId="0" fontId="7" fillId="0" borderId="30" xfId="0" applyFont="1" applyBorder="1" applyAlignment="1">
      <alignment wrapText="1"/>
    </xf>
    <xf numFmtId="0" fontId="5" fillId="15" borderId="39" xfId="0" applyFont="1" applyFill="1" applyBorder="1" applyAlignment="1">
      <alignment vertical="center" wrapText="1"/>
    </xf>
    <xf numFmtId="0" fontId="5" fillId="15" borderId="40" xfId="0" applyFont="1" applyFill="1" applyBorder="1" applyAlignment="1">
      <alignment vertical="center" wrapText="1"/>
    </xf>
    <xf numFmtId="0" fontId="7" fillId="0" borderId="41" xfId="0" applyFont="1" applyBorder="1" applyAlignment="1">
      <alignment wrapText="1"/>
    </xf>
    <xf numFmtId="0" fontId="7" fillId="0" borderId="42" xfId="0" applyFont="1" applyBorder="1" applyAlignment="1">
      <alignment wrapText="1"/>
    </xf>
    <xf numFmtId="0" fontId="6" fillId="0" borderId="42" xfId="0" applyFont="1" applyBorder="1" applyAlignment="1">
      <alignment horizontal="right" wrapText="1"/>
    </xf>
    <xf numFmtId="0" fontId="6" fillId="0" borderId="43" xfId="0" applyFont="1" applyBorder="1" applyAlignment="1">
      <alignment horizontal="right" wrapText="1"/>
    </xf>
    <xf numFmtId="0" fontId="7" fillId="0" borderId="28" xfId="0" applyFont="1" applyBorder="1" applyAlignment="1">
      <alignment horizontal="right" wrapText="1"/>
    </xf>
    <xf numFmtId="0" fontId="0" fillId="4" borderId="4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12" borderId="1" xfId="0" applyFill="1" applyBorder="1"/>
    <xf numFmtId="0" fontId="0" fillId="0" borderId="0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/>
    <xf numFmtId="0" fontId="0" fillId="0" borderId="0" xfId="0" applyAlignment="1"/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1" fillId="0" borderId="4" xfId="0" applyFont="1" applyFill="1" applyBorder="1" applyAlignment="1">
      <alignment horizontal="center"/>
    </xf>
    <xf numFmtId="0" fontId="0" fillId="6" borderId="4" xfId="0" applyFill="1" applyBorder="1"/>
    <xf numFmtId="0" fontId="0" fillId="7" borderId="4" xfId="0" applyFill="1" applyBorder="1"/>
    <xf numFmtId="0" fontId="0" fillId="5" borderId="4" xfId="0" applyFill="1" applyBorder="1"/>
    <xf numFmtId="0" fontId="0" fillId="3" borderId="4" xfId="0" applyFill="1" applyBorder="1"/>
    <xf numFmtId="0" fontId="0" fillId="2" borderId="4" xfId="0" applyFill="1" applyBorder="1"/>
    <xf numFmtId="0" fontId="0" fillId="8" borderId="4" xfId="0" applyFill="1" applyBorder="1"/>
    <xf numFmtId="0" fontId="0" fillId="11" borderId="4" xfId="0" applyFill="1" applyBorder="1"/>
    <xf numFmtId="0" fontId="1" fillId="0" borderId="11" xfId="0" applyFont="1" applyFill="1" applyBorder="1" applyAlignment="1">
      <alignment horizontal="center"/>
    </xf>
    <xf numFmtId="0" fontId="0" fillId="0" borderId="11" xfId="0" applyFill="1" applyBorder="1"/>
    <xf numFmtId="0" fontId="0" fillId="12" borderId="4" xfId="0" applyFill="1" applyBorder="1"/>
    <xf numFmtId="0" fontId="0" fillId="0" borderId="11" xfId="0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7" borderId="10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49" fontId="0" fillId="7" borderId="4" xfId="0" applyNumberFormat="1" applyFill="1" applyBorder="1" applyAlignment="1">
      <alignment horizontal="right"/>
    </xf>
    <xf numFmtId="49" fontId="0" fillId="3" borderId="4" xfId="0" applyNumberFormat="1" applyFill="1" applyBorder="1" applyAlignment="1">
      <alignment horizontal="right"/>
    </xf>
    <xf numFmtId="49" fontId="0" fillId="2" borderId="4" xfId="0" applyNumberFormat="1" applyFill="1" applyBorder="1" applyAlignment="1">
      <alignment horizontal="right"/>
    </xf>
    <xf numFmtId="49" fontId="0" fillId="4" borderId="4" xfId="0" applyNumberFormat="1" applyFill="1" applyBorder="1" applyAlignment="1">
      <alignment horizontal="right"/>
    </xf>
    <xf numFmtId="49" fontId="0" fillId="11" borderId="4" xfId="0" applyNumberFormat="1" applyFill="1" applyBorder="1" applyAlignment="1">
      <alignment horizontal="right"/>
    </xf>
    <xf numFmtId="49" fontId="0" fillId="5" borderId="4" xfId="0" applyNumberFormat="1" applyFill="1" applyBorder="1" applyAlignment="1">
      <alignment horizontal="right"/>
    </xf>
    <xf numFmtId="49" fontId="0" fillId="8" borderId="4" xfId="0" applyNumberFormat="1" applyFill="1" applyBorder="1" applyAlignment="1">
      <alignment horizontal="right"/>
    </xf>
    <xf numFmtId="49" fontId="0" fillId="6" borderId="4" xfId="0" applyNumberFormat="1" applyFill="1" applyBorder="1" applyAlignment="1">
      <alignment horizontal="right"/>
    </xf>
    <xf numFmtId="49" fontId="0" fillId="7" borderId="7" xfId="0" applyNumberFormat="1" applyFill="1" applyBorder="1" applyAlignment="1">
      <alignment horizontal="right"/>
    </xf>
    <xf numFmtId="49" fontId="0" fillId="5" borderId="4" xfId="0" applyNumberFormat="1" applyFill="1" applyBorder="1" applyAlignment="1">
      <alignment horizontal="right" wrapText="1"/>
    </xf>
    <xf numFmtId="49" fontId="0" fillId="7" borderId="4" xfId="0" applyNumberFormat="1" applyFill="1" applyBorder="1" applyAlignment="1">
      <alignment horizontal="right" wrapText="1"/>
    </xf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horizontal="center" wrapText="1"/>
    </xf>
    <xf numFmtId="0" fontId="0" fillId="11" borderId="2" xfId="0" applyFill="1" applyBorder="1" applyAlignment="1">
      <alignment horizontal="center"/>
    </xf>
    <xf numFmtId="0" fontId="0" fillId="0" borderId="11" xfId="0" applyFill="1" applyBorder="1" applyAlignment="1"/>
    <xf numFmtId="0" fontId="4" fillId="14" borderId="44" xfId="0" applyFont="1" applyFill="1" applyBorder="1" applyAlignment="1">
      <alignment horizontal="center" vertical="center" wrapText="1"/>
    </xf>
    <xf numFmtId="0" fontId="7" fillId="0" borderId="46" xfId="0" applyFont="1" applyBorder="1" applyAlignment="1">
      <alignment wrapText="1"/>
    </xf>
    <xf numFmtId="0" fontId="7" fillId="0" borderId="47" xfId="0" applyFont="1" applyBorder="1" applyAlignment="1">
      <alignment wrapText="1"/>
    </xf>
    <xf numFmtId="0" fontId="7" fillId="0" borderId="48" xfId="0" applyFont="1" applyBorder="1" applyAlignment="1">
      <alignment wrapText="1"/>
    </xf>
    <xf numFmtId="0" fontId="7" fillId="0" borderId="49" xfId="0" applyFont="1" applyBorder="1" applyAlignment="1">
      <alignment wrapText="1"/>
    </xf>
    <xf numFmtId="0" fontId="0" fillId="0" borderId="0" xfId="0" applyBorder="1" applyAlignment="1">
      <alignment horizontal="center"/>
    </xf>
    <xf numFmtId="0" fontId="0" fillId="0" borderId="1" xfId="0" applyBorder="1" applyAlignment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/>
    <xf numFmtId="0" fontId="8" fillId="0" borderId="1" xfId="0" applyFont="1" applyBorder="1" applyAlignment="1">
      <alignment vertical="center"/>
    </xf>
    <xf numFmtId="0" fontId="8" fillId="0" borderId="0" xfId="0" applyFont="1" applyBorder="1" applyAlignment="1"/>
    <xf numFmtId="0" fontId="0" fillId="0" borderId="1" xfId="0" applyFill="1" applyBorder="1" applyAlignment="1"/>
    <xf numFmtId="0" fontId="0" fillId="0" borderId="0" xfId="0" applyBorder="1" applyAlignment="1">
      <alignment horizontal="right"/>
    </xf>
    <xf numFmtId="0" fontId="0" fillId="0" borderId="0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7" borderId="10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0" borderId="10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8" borderId="10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/>
    </xf>
    <xf numFmtId="0" fontId="0" fillId="12" borderId="10" xfId="0" applyFill="1" applyBorder="1" applyAlignment="1">
      <alignment horizontal="center" vertical="center" wrapText="1"/>
    </xf>
    <xf numFmtId="0" fontId="0" fillId="12" borderId="15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5" fillId="0" borderId="20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2" fillId="13" borderId="45" xfId="0" applyFont="1" applyFill="1" applyBorder="1" applyAlignment="1">
      <alignment horizontal="center" vertical="center" wrapText="1"/>
    </xf>
    <xf numFmtId="0" fontId="2" fillId="13" borderId="0" xfId="0" applyFont="1" applyFill="1" applyBorder="1" applyAlignment="1">
      <alignment horizontal="center" vertical="center" wrapText="1"/>
    </xf>
    <xf numFmtId="0" fontId="5" fillId="15" borderId="37" xfId="0" applyFont="1" applyFill="1" applyBorder="1" applyAlignment="1">
      <alignment horizontal="center" vertical="center" wrapText="1"/>
    </xf>
    <xf numFmtId="0" fontId="5" fillId="15" borderId="38" xfId="0" applyFont="1" applyFill="1" applyBorder="1" applyAlignment="1">
      <alignment horizontal="center" vertical="center" wrapText="1"/>
    </xf>
    <xf numFmtId="0" fontId="5" fillId="15" borderId="26" xfId="0" applyFont="1" applyFill="1" applyBorder="1" applyAlignment="1">
      <alignment horizontal="center" vertical="center" wrapText="1"/>
    </xf>
    <xf numFmtId="0" fontId="5" fillId="15" borderId="31" xfId="0" applyFont="1" applyFill="1" applyBorder="1" applyAlignment="1">
      <alignment horizontal="center" vertical="center" wrapText="1"/>
    </xf>
    <xf numFmtId="0" fontId="5" fillId="15" borderId="32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/>
    </xf>
    <xf numFmtId="0" fontId="0" fillId="0" borderId="1" xfId="0" applyFill="1" applyBorder="1" applyAlignment="1">
      <alignment horizontal="center"/>
    </xf>
    <xf numFmtId="0" fontId="8" fillId="0" borderId="1" xfId="0" applyFont="1" applyFill="1" applyBorder="1" applyAlignment="1">
      <alignment vertical="center"/>
    </xf>
    <xf numFmtId="0" fontId="0" fillId="0" borderId="2" xfId="0" applyBorder="1" applyAlignment="1"/>
    <xf numFmtId="0" fontId="8" fillId="0" borderId="0" xfId="0" applyFont="1" applyBorder="1" applyAlignment="1">
      <alignment horizontal="center" vertical="center"/>
    </xf>
    <xf numFmtId="0" fontId="8" fillId="0" borderId="0" xfId="0" applyFont="1" applyFill="1" applyBorder="1" applyAlignment="1"/>
    <xf numFmtId="0" fontId="8" fillId="0" borderId="0" xfId="0" applyFont="1" applyFill="1" applyBorder="1"/>
    <xf numFmtId="0" fontId="0" fillId="0" borderId="0" xfId="0" applyFill="1" applyBorder="1" applyAlignment="1">
      <alignment horizontal="right"/>
    </xf>
    <xf numFmtId="0" fontId="0" fillId="0" borderId="1" xfId="0" applyFont="1" applyBorder="1"/>
    <xf numFmtId="0" fontId="0" fillId="0" borderId="2" xfId="0" applyFill="1" applyBorder="1" applyAlignment="1">
      <alignment horizontal="center"/>
    </xf>
    <xf numFmtId="0" fontId="0" fillId="0" borderId="2" xfId="0" applyBorder="1"/>
    <xf numFmtId="0" fontId="0" fillId="0" borderId="2" xfId="0" applyFill="1" applyBorder="1" applyAlignment="1"/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wrapText="1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906CA-5DC8-440C-A7AF-DCFF3A6BC983}">
  <dimension ref="A1:W86"/>
  <sheetViews>
    <sheetView topLeftCell="A7" zoomScale="70" zoomScaleNormal="70" workbookViewId="0">
      <selection activeCell="D91" sqref="D91"/>
    </sheetView>
  </sheetViews>
  <sheetFormatPr baseColWidth="10" defaultRowHeight="15" x14ac:dyDescent="0.25"/>
  <cols>
    <col min="1" max="1" width="19.85546875" customWidth="1"/>
    <col min="2" max="2" width="14.28515625" customWidth="1"/>
    <col min="3" max="3" width="15.28515625" customWidth="1"/>
    <col min="4" max="4" width="14.28515625" customWidth="1"/>
    <col min="5" max="5" width="13.7109375" customWidth="1"/>
    <col min="6" max="7" width="15.140625" customWidth="1"/>
    <col min="8" max="8" width="14.28515625" customWidth="1"/>
    <col min="9" max="9" width="14.7109375" customWidth="1"/>
    <col min="10" max="10" width="17.140625" customWidth="1"/>
    <col min="11" max="11" width="16.42578125" customWidth="1"/>
    <col min="12" max="12" width="15.28515625" customWidth="1"/>
    <col min="13" max="13" width="18.28515625" customWidth="1"/>
    <col min="14" max="14" width="14.5703125" customWidth="1"/>
    <col min="15" max="15" width="14.7109375" customWidth="1"/>
    <col min="16" max="16" width="15.28515625" customWidth="1"/>
    <col min="20" max="20" width="16" customWidth="1"/>
    <col min="21" max="21" width="18.28515625" customWidth="1"/>
  </cols>
  <sheetData>
    <row r="1" spans="1:23" x14ac:dyDescent="0.25">
      <c r="E1" s="290" t="s">
        <v>1</v>
      </c>
      <c r="F1" s="290"/>
      <c r="G1" s="290" t="s">
        <v>2</v>
      </c>
      <c r="H1" s="290"/>
      <c r="I1" s="290"/>
      <c r="J1" s="290"/>
      <c r="K1" s="290" t="s">
        <v>3</v>
      </c>
      <c r="L1" s="290"/>
      <c r="M1" s="290"/>
      <c r="N1" s="290"/>
      <c r="O1" s="290" t="s">
        <v>4</v>
      </c>
      <c r="P1" s="290"/>
    </row>
    <row r="2" spans="1:23" x14ac:dyDescent="0.25">
      <c r="C2" s="278" t="s">
        <v>184</v>
      </c>
      <c r="D2" s="279"/>
      <c r="E2" s="276" t="s">
        <v>68</v>
      </c>
      <c r="F2" s="277"/>
      <c r="G2" s="294" t="s">
        <v>69</v>
      </c>
      <c r="H2" s="295"/>
      <c r="I2" s="295"/>
      <c r="J2" s="296"/>
      <c r="K2" s="302" t="s">
        <v>70</v>
      </c>
      <c r="L2" s="303"/>
      <c r="M2" s="303"/>
      <c r="N2" s="304"/>
      <c r="O2" s="284" t="s">
        <v>71</v>
      </c>
      <c r="P2" s="285"/>
    </row>
    <row r="3" spans="1:23" x14ac:dyDescent="0.25">
      <c r="C3" s="23" t="s">
        <v>13</v>
      </c>
      <c r="D3" s="23" t="s">
        <v>16</v>
      </c>
      <c r="E3" s="31" t="s">
        <v>13</v>
      </c>
      <c r="F3" s="94" t="s">
        <v>16</v>
      </c>
      <c r="G3" s="12" t="s">
        <v>13</v>
      </c>
      <c r="H3" s="97" t="s">
        <v>10</v>
      </c>
      <c r="I3" s="12" t="s">
        <v>13</v>
      </c>
      <c r="J3" s="84" t="s">
        <v>10</v>
      </c>
      <c r="K3" s="27" t="s">
        <v>13</v>
      </c>
      <c r="L3" s="103" t="s">
        <v>10</v>
      </c>
      <c r="M3" s="27" t="s">
        <v>13</v>
      </c>
      <c r="N3" s="104" t="s">
        <v>16</v>
      </c>
      <c r="O3" s="22" t="s">
        <v>13</v>
      </c>
      <c r="P3" s="79" t="s">
        <v>16</v>
      </c>
    </row>
    <row r="4" spans="1:23" x14ac:dyDescent="0.25">
      <c r="C4" s="46" t="s">
        <v>183</v>
      </c>
      <c r="D4" s="23">
        <v>100</v>
      </c>
      <c r="E4" s="44" t="s">
        <v>183</v>
      </c>
      <c r="F4" s="94">
        <v>80</v>
      </c>
      <c r="G4" s="61" t="s">
        <v>183</v>
      </c>
      <c r="H4" s="97" t="s">
        <v>10</v>
      </c>
      <c r="I4" s="61" t="s">
        <v>183</v>
      </c>
      <c r="J4" s="84" t="s">
        <v>10</v>
      </c>
      <c r="K4" s="40" t="s">
        <v>183</v>
      </c>
      <c r="L4" s="103" t="s">
        <v>10</v>
      </c>
      <c r="M4" s="40" t="s">
        <v>183</v>
      </c>
      <c r="N4" s="104">
        <v>48</v>
      </c>
      <c r="O4" s="67" t="s">
        <v>183</v>
      </c>
      <c r="P4" s="79">
        <v>100</v>
      </c>
    </row>
    <row r="5" spans="1:23" x14ac:dyDescent="0.25">
      <c r="C5" s="46" t="s">
        <v>14</v>
      </c>
      <c r="D5" s="23">
        <f>D16</f>
        <v>0</v>
      </c>
      <c r="E5" s="44" t="s">
        <v>14</v>
      </c>
      <c r="F5" s="95" t="s">
        <v>124</v>
      </c>
      <c r="G5" s="61" t="s">
        <v>14</v>
      </c>
      <c r="H5" s="98" t="s">
        <v>10</v>
      </c>
      <c r="I5" s="61" t="s">
        <v>14</v>
      </c>
      <c r="J5" s="99" t="s">
        <v>10</v>
      </c>
      <c r="K5" s="40" t="s">
        <v>14</v>
      </c>
      <c r="L5" s="105" t="s">
        <v>10</v>
      </c>
      <c r="M5" s="40" t="s">
        <v>14</v>
      </c>
      <c r="N5" s="106" t="s">
        <v>126</v>
      </c>
      <c r="O5" s="67" t="s">
        <v>14</v>
      </c>
      <c r="P5" s="107" t="s">
        <v>124</v>
      </c>
    </row>
    <row r="6" spans="1:23" x14ac:dyDescent="0.25">
      <c r="A6" s="2" t="s">
        <v>13</v>
      </c>
      <c r="B6" s="2" t="s">
        <v>26</v>
      </c>
      <c r="C6" s="3"/>
      <c r="D6" s="4"/>
      <c r="E6" s="280" t="s">
        <v>15</v>
      </c>
      <c r="F6" s="281"/>
      <c r="G6" s="284" t="s">
        <v>34</v>
      </c>
      <c r="H6" s="305"/>
      <c r="I6" s="305"/>
      <c r="J6" s="285"/>
      <c r="K6" s="278" t="s">
        <v>37</v>
      </c>
      <c r="L6" s="297"/>
      <c r="M6" s="297"/>
      <c r="N6" s="279"/>
      <c r="O6" s="291" t="s">
        <v>40</v>
      </c>
      <c r="P6" s="293"/>
      <c r="Q6" s="3"/>
      <c r="R6" s="3"/>
      <c r="S6" s="3"/>
      <c r="T6" s="3"/>
      <c r="U6" s="3"/>
      <c r="V6" s="3"/>
      <c r="W6" s="3"/>
    </row>
    <row r="7" spans="1:23" x14ac:dyDescent="0.25">
      <c r="A7" s="2" t="s">
        <v>16</v>
      </c>
      <c r="B7" s="2" t="s">
        <v>16</v>
      </c>
      <c r="C7" s="3"/>
      <c r="D7" s="36"/>
      <c r="E7" s="17" t="s">
        <v>13</v>
      </c>
      <c r="F7" s="17" t="s">
        <v>16</v>
      </c>
      <c r="G7" s="22" t="s">
        <v>13</v>
      </c>
      <c r="H7" s="22" t="s">
        <v>16</v>
      </c>
      <c r="I7" s="22" t="s">
        <v>13</v>
      </c>
      <c r="J7" s="22" t="s">
        <v>32</v>
      </c>
      <c r="K7" s="23" t="s">
        <v>13</v>
      </c>
      <c r="L7" s="23" t="s">
        <v>32</v>
      </c>
      <c r="M7" s="23" t="s">
        <v>13</v>
      </c>
      <c r="N7" s="23" t="s">
        <v>32</v>
      </c>
      <c r="O7" s="33" t="s">
        <v>13</v>
      </c>
      <c r="P7" s="33" t="s">
        <v>32</v>
      </c>
      <c r="Q7" s="3"/>
      <c r="R7" s="3"/>
      <c r="S7" s="4"/>
      <c r="T7" s="3"/>
      <c r="U7" s="4"/>
      <c r="V7" s="3"/>
      <c r="W7" s="4"/>
    </row>
    <row r="8" spans="1:23" x14ac:dyDescent="0.25">
      <c r="A8" s="2" t="s">
        <v>18</v>
      </c>
      <c r="B8" s="2" t="s">
        <v>27</v>
      </c>
      <c r="C8" s="3"/>
      <c r="D8" s="36"/>
      <c r="E8" s="57" t="s">
        <v>183</v>
      </c>
      <c r="F8" s="57">
        <v>100</v>
      </c>
      <c r="G8" s="67" t="s">
        <v>183</v>
      </c>
      <c r="H8" s="67">
        <v>100</v>
      </c>
      <c r="I8" s="67" t="s">
        <v>183</v>
      </c>
      <c r="J8" s="67" t="s">
        <v>10</v>
      </c>
      <c r="K8" s="46" t="s">
        <v>183</v>
      </c>
      <c r="L8" s="46" t="s">
        <v>10</v>
      </c>
      <c r="M8" s="46" t="s">
        <v>183</v>
      </c>
      <c r="N8" s="46" t="s">
        <v>10</v>
      </c>
      <c r="O8" s="41" t="s">
        <v>183</v>
      </c>
      <c r="P8" s="41" t="s">
        <v>10</v>
      </c>
      <c r="Q8" s="4"/>
      <c r="R8" s="4"/>
      <c r="S8" s="4"/>
      <c r="T8" s="4"/>
      <c r="U8" s="4"/>
      <c r="V8" s="4"/>
      <c r="W8" s="3"/>
    </row>
    <row r="9" spans="1:23" x14ac:dyDescent="0.25">
      <c r="A9" s="2" t="s">
        <v>19</v>
      </c>
      <c r="B9" s="2" t="s">
        <v>28</v>
      </c>
      <c r="C9" s="3"/>
      <c r="D9" s="36"/>
      <c r="E9" s="57" t="s">
        <v>14</v>
      </c>
      <c r="F9" s="96" t="s">
        <v>122</v>
      </c>
      <c r="G9" s="67" t="s">
        <v>14</v>
      </c>
      <c r="H9" s="20" t="s">
        <v>10</v>
      </c>
      <c r="I9" s="67" t="s">
        <v>14</v>
      </c>
      <c r="J9" s="20" t="s">
        <v>10</v>
      </c>
      <c r="K9" s="46" t="s">
        <v>14</v>
      </c>
      <c r="L9" s="102" t="s">
        <v>10</v>
      </c>
      <c r="M9" s="46" t="s">
        <v>14</v>
      </c>
      <c r="N9" s="102" t="s">
        <v>10</v>
      </c>
      <c r="O9" s="41" t="s">
        <v>14</v>
      </c>
      <c r="P9" s="100" t="s">
        <v>10</v>
      </c>
      <c r="Q9" s="3"/>
      <c r="R9" s="3"/>
      <c r="S9" s="3"/>
      <c r="T9" s="3"/>
      <c r="U9" s="3"/>
      <c r="V9" s="3"/>
      <c r="W9" s="3"/>
    </row>
    <row r="10" spans="1:23" x14ac:dyDescent="0.25">
      <c r="A10" s="2" t="s">
        <v>20</v>
      </c>
      <c r="B10" s="2" t="s">
        <v>29</v>
      </c>
      <c r="C10" s="3"/>
      <c r="D10" s="36"/>
      <c r="E10" s="298" t="s">
        <v>17</v>
      </c>
      <c r="F10" s="298"/>
      <c r="G10" s="283" t="s">
        <v>35</v>
      </c>
      <c r="H10" s="283"/>
      <c r="I10" s="283"/>
      <c r="J10" s="283"/>
      <c r="K10" s="288" t="s">
        <v>38</v>
      </c>
      <c r="L10" s="288"/>
      <c r="M10" s="288"/>
      <c r="N10" s="288"/>
      <c r="O10" s="286" t="s">
        <v>41</v>
      </c>
      <c r="P10" s="286"/>
      <c r="Q10" s="3"/>
      <c r="R10" s="3"/>
      <c r="S10" s="3"/>
      <c r="T10" s="3"/>
      <c r="U10" s="3"/>
      <c r="V10" s="3"/>
      <c r="W10" s="3"/>
    </row>
    <row r="11" spans="1:23" x14ac:dyDescent="0.25">
      <c r="A11" s="2" t="s">
        <v>21</v>
      </c>
      <c r="B11" s="2" t="s">
        <v>21</v>
      </c>
      <c r="C11" s="3"/>
      <c r="D11" s="36"/>
      <c r="E11" s="12" t="s">
        <v>13</v>
      </c>
      <c r="F11" s="12" t="str">
        <f>B9</f>
        <v>Mo.Aj</v>
      </c>
      <c r="G11" s="17" t="s">
        <v>13</v>
      </c>
      <c r="H11" s="17" t="str">
        <f>B9</f>
        <v>Mo.Aj</v>
      </c>
      <c r="I11" s="17" t="s">
        <v>13</v>
      </c>
      <c r="J11" s="17" t="s">
        <v>10</v>
      </c>
      <c r="K11" s="31" t="s">
        <v>13</v>
      </c>
      <c r="L11" s="31" t="s">
        <v>30</v>
      </c>
      <c r="M11" s="31" t="s">
        <v>13</v>
      </c>
      <c r="N11" s="31" t="str">
        <f>B12</f>
        <v>C.M.P</v>
      </c>
      <c r="O11" s="12" t="s">
        <v>13</v>
      </c>
      <c r="P11" s="12" t="str">
        <f>B12</f>
        <v>C.M.P</v>
      </c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22</v>
      </c>
      <c r="B12" s="2" t="s">
        <v>30</v>
      </c>
      <c r="C12" s="3"/>
      <c r="D12" s="36"/>
      <c r="E12" s="61" t="s">
        <v>183</v>
      </c>
      <c r="F12" s="12">
        <v>100</v>
      </c>
      <c r="G12" s="57" t="s">
        <v>183</v>
      </c>
      <c r="H12" s="17">
        <v>100</v>
      </c>
      <c r="I12" s="57" t="s">
        <v>183</v>
      </c>
      <c r="J12" s="17" t="s">
        <v>10</v>
      </c>
      <c r="K12" s="44" t="s">
        <v>183</v>
      </c>
      <c r="L12" s="31">
        <v>16</v>
      </c>
      <c r="M12" s="44" t="s">
        <v>183</v>
      </c>
      <c r="N12" s="31">
        <v>52</v>
      </c>
      <c r="O12" s="61" t="s">
        <v>183</v>
      </c>
      <c r="P12" s="12">
        <v>58</v>
      </c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23</v>
      </c>
      <c r="B13" s="2" t="s">
        <v>31</v>
      </c>
      <c r="C13" s="3"/>
      <c r="D13" s="36"/>
      <c r="E13" s="61" t="s">
        <v>14</v>
      </c>
      <c r="F13" s="92" t="s">
        <v>122</v>
      </c>
      <c r="G13" s="57" t="s">
        <v>14</v>
      </c>
      <c r="H13" s="101" t="s">
        <v>125</v>
      </c>
      <c r="I13" s="57" t="s">
        <v>14</v>
      </c>
      <c r="J13" s="101" t="s">
        <v>10</v>
      </c>
      <c r="K13" s="44" t="s">
        <v>14</v>
      </c>
      <c r="L13" s="93" t="s">
        <v>11</v>
      </c>
      <c r="M13" s="44" t="s">
        <v>14</v>
      </c>
      <c r="N13" s="93" t="s">
        <v>11</v>
      </c>
      <c r="O13" s="61" t="s">
        <v>14</v>
      </c>
      <c r="P13" s="92" t="s">
        <v>11</v>
      </c>
      <c r="Q13" s="3"/>
      <c r="R13" s="3"/>
      <c r="S13" s="3"/>
      <c r="T13" s="3"/>
      <c r="U13" s="3"/>
      <c r="V13" s="3"/>
      <c r="W13" s="3"/>
    </row>
    <row r="14" spans="1:23" x14ac:dyDescent="0.25">
      <c r="A14" s="2" t="s">
        <v>24</v>
      </c>
      <c r="B14" s="2" t="s">
        <v>24</v>
      </c>
      <c r="C14" s="3"/>
      <c r="D14" s="36"/>
      <c r="E14" s="288" t="s">
        <v>33</v>
      </c>
      <c r="F14" s="288"/>
      <c r="G14" s="282" t="s">
        <v>36</v>
      </c>
      <c r="H14" s="282"/>
      <c r="I14" s="282"/>
      <c r="J14" s="282"/>
      <c r="K14" s="286" t="s">
        <v>39</v>
      </c>
      <c r="L14" s="286"/>
      <c r="M14" s="286"/>
      <c r="N14" s="286"/>
      <c r="O14" s="275" t="s">
        <v>42</v>
      </c>
      <c r="P14" s="275"/>
    </row>
    <row r="15" spans="1:23" x14ac:dyDescent="0.25">
      <c r="A15" s="2" t="s">
        <v>25</v>
      </c>
      <c r="B15" s="2" t="s">
        <v>32</v>
      </c>
      <c r="C15" s="3"/>
      <c r="D15" s="36"/>
      <c r="E15" s="31" t="s">
        <v>13</v>
      </c>
      <c r="F15" s="31" t="str">
        <f>B9</f>
        <v>Mo.Aj</v>
      </c>
      <c r="G15" s="23" t="s">
        <v>13</v>
      </c>
      <c r="H15" s="23" t="str">
        <f>B8</f>
        <v>Mo.Al</v>
      </c>
      <c r="I15" s="23" t="s">
        <v>13</v>
      </c>
      <c r="J15" s="23" t="str">
        <f>B9</f>
        <v>Mo.Aj</v>
      </c>
      <c r="K15" s="12" t="s">
        <v>13</v>
      </c>
      <c r="L15" s="12" t="str">
        <f>B10</f>
        <v>Mo.Po</v>
      </c>
      <c r="M15" s="12" t="s">
        <v>13</v>
      </c>
      <c r="N15" s="12" t="str">
        <f>B13</f>
        <v>C.P.F</v>
      </c>
      <c r="O15" s="22" t="s">
        <v>13</v>
      </c>
      <c r="P15" s="22" t="s">
        <v>24</v>
      </c>
    </row>
    <row r="16" spans="1:23" x14ac:dyDescent="0.25">
      <c r="D16" s="36"/>
      <c r="E16" s="44" t="s">
        <v>183</v>
      </c>
      <c r="F16" s="31">
        <v>84</v>
      </c>
      <c r="G16" s="46" t="s">
        <v>183</v>
      </c>
      <c r="H16" s="23">
        <v>81</v>
      </c>
      <c r="I16" s="46" t="s">
        <v>183</v>
      </c>
      <c r="J16" s="23">
        <v>47</v>
      </c>
      <c r="K16" s="61" t="s">
        <v>183</v>
      </c>
      <c r="L16" s="12">
        <v>27</v>
      </c>
      <c r="M16" s="61" t="s">
        <v>183</v>
      </c>
      <c r="N16" s="12">
        <v>71</v>
      </c>
      <c r="O16" s="67" t="s">
        <v>183</v>
      </c>
      <c r="P16" s="22" t="s">
        <v>10</v>
      </c>
    </row>
    <row r="17" spans="1:16" x14ac:dyDescent="0.25">
      <c r="D17" s="6"/>
      <c r="E17" s="44" t="s">
        <v>14</v>
      </c>
      <c r="F17" s="93"/>
      <c r="G17" s="46" t="s">
        <v>14</v>
      </c>
      <c r="H17" s="102" t="s">
        <v>125</v>
      </c>
      <c r="I17" s="46" t="s">
        <v>14</v>
      </c>
      <c r="J17" s="102" t="s">
        <v>126</v>
      </c>
      <c r="K17" s="61" t="s">
        <v>14</v>
      </c>
      <c r="L17" s="92" t="s">
        <v>123</v>
      </c>
      <c r="M17" s="61" t="s">
        <v>14</v>
      </c>
      <c r="N17" s="92" t="s">
        <v>127</v>
      </c>
      <c r="O17" s="67" t="s">
        <v>14</v>
      </c>
      <c r="P17" s="20" t="s">
        <v>10</v>
      </c>
    </row>
    <row r="18" spans="1:16" x14ac:dyDescent="0.25">
      <c r="A18" s="274"/>
      <c r="B18" s="274"/>
    </row>
    <row r="19" spans="1:16" x14ac:dyDescent="0.25">
      <c r="A19" s="35"/>
      <c r="B19" s="6"/>
      <c r="G19" t="s">
        <v>12</v>
      </c>
    </row>
    <row r="20" spans="1:16" x14ac:dyDescent="0.25">
      <c r="A20" s="6"/>
      <c r="B20" s="6"/>
    </row>
    <row r="21" spans="1:16" x14ac:dyDescent="0.25">
      <c r="A21" s="6"/>
      <c r="B21" s="6"/>
      <c r="E21" s="290" t="s">
        <v>5</v>
      </c>
      <c r="F21" s="290"/>
      <c r="G21" s="290" t="s">
        <v>6</v>
      </c>
      <c r="H21" s="290"/>
      <c r="I21" s="290" t="s">
        <v>7</v>
      </c>
      <c r="J21" s="290"/>
      <c r="K21" s="290" t="s">
        <v>8</v>
      </c>
      <c r="L21" s="290"/>
      <c r="M21" s="290" t="s">
        <v>9</v>
      </c>
      <c r="N21" s="290"/>
      <c r="O21" s="290"/>
      <c r="P21" s="290"/>
    </row>
    <row r="22" spans="1:16" x14ac:dyDescent="0.25">
      <c r="A22" s="6"/>
      <c r="B22" s="6"/>
      <c r="C22" s="286" t="s">
        <v>193</v>
      </c>
      <c r="D22" s="286"/>
      <c r="E22" s="276" t="s">
        <v>72</v>
      </c>
      <c r="F22" s="277"/>
      <c r="G22" s="278" t="s">
        <v>73</v>
      </c>
      <c r="H22" s="279"/>
      <c r="I22" s="280" t="s">
        <v>74</v>
      </c>
      <c r="J22" s="281"/>
      <c r="K22" s="284" t="s">
        <v>75</v>
      </c>
      <c r="L22" s="285"/>
      <c r="M22" s="278" t="s">
        <v>76</v>
      </c>
      <c r="N22" s="297"/>
      <c r="O22" s="297"/>
      <c r="P22" s="279"/>
    </row>
    <row r="23" spans="1:16" x14ac:dyDescent="0.25">
      <c r="A23" s="6"/>
      <c r="B23" s="6"/>
      <c r="C23" s="12" t="s">
        <v>13</v>
      </c>
      <c r="D23" s="12" t="str">
        <f>B10</f>
        <v>Mo.Po</v>
      </c>
      <c r="E23" s="31" t="s">
        <v>13</v>
      </c>
      <c r="F23" s="31" t="str">
        <f>B10</f>
        <v>Mo.Po</v>
      </c>
      <c r="G23" s="23" t="s">
        <v>13</v>
      </c>
      <c r="H23" s="87" t="str">
        <f>B9</f>
        <v>Mo.Aj</v>
      </c>
      <c r="I23" s="17" t="s">
        <v>13</v>
      </c>
      <c r="J23" s="17" t="s">
        <v>10</v>
      </c>
      <c r="K23" s="22" t="s">
        <v>13</v>
      </c>
      <c r="L23" s="22" t="str">
        <f>B10</f>
        <v>Mo.Po</v>
      </c>
      <c r="M23" s="23" t="s">
        <v>13</v>
      </c>
      <c r="N23" s="23" t="str">
        <f>B9</f>
        <v>Mo.Aj</v>
      </c>
      <c r="O23" s="23" t="s">
        <v>13</v>
      </c>
      <c r="P23" s="23" t="s">
        <v>66</v>
      </c>
    </row>
    <row r="24" spans="1:16" x14ac:dyDescent="0.25">
      <c r="A24" s="6"/>
      <c r="B24" s="6"/>
      <c r="C24" s="61" t="s">
        <v>183</v>
      </c>
      <c r="D24" s="12">
        <v>27</v>
      </c>
      <c r="E24" s="44" t="s">
        <v>183</v>
      </c>
      <c r="F24" s="31">
        <v>86</v>
      </c>
      <c r="G24" s="46" t="s">
        <v>183</v>
      </c>
      <c r="H24" s="87">
        <v>118</v>
      </c>
      <c r="I24" s="57" t="s">
        <v>183</v>
      </c>
      <c r="J24" s="17" t="s">
        <v>10</v>
      </c>
      <c r="K24" s="67" t="s">
        <v>183</v>
      </c>
      <c r="L24" s="22">
        <v>81</v>
      </c>
      <c r="M24" s="46" t="s">
        <v>183</v>
      </c>
      <c r="N24" s="23">
        <v>37</v>
      </c>
      <c r="O24" s="46" t="s">
        <v>183</v>
      </c>
      <c r="P24" s="23">
        <v>117</v>
      </c>
    </row>
    <row r="25" spans="1:16" x14ac:dyDescent="0.25">
      <c r="A25" s="6"/>
      <c r="B25" s="6"/>
      <c r="C25" s="61" t="s">
        <v>14</v>
      </c>
      <c r="D25" s="92" t="s">
        <v>124</v>
      </c>
      <c r="E25" s="44" t="s">
        <v>14</v>
      </c>
      <c r="F25" s="93" t="s">
        <v>124</v>
      </c>
      <c r="G25" s="46" t="s">
        <v>14</v>
      </c>
      <c r="H25" s="111" t="s">
        <v>126</v>
      </c>
      <c r="I25" s="57" t="s">
        <v>14</v>
      </c>
      <c r="J25" s="101" t="s">
        <v>10</v>
      </c>
      <c r="K25" s="67" t="s">
        <v>14</v>
      </c>
      <c r="L25" s="20" t="s">
        <v>126</v>
      </c>
      <c r="M25" s="46" t="s">
        <v>14</v>
      </c>
      <c r="N25" s="102" t="s">
        <v>122</v>
      </c>
      <c r="O25" s="46" t="s">
        <v>14</v>
      </c>
      <c r="P25" s="102" t="s">
        <v>124</v>
      </c>
    </row>
    <row r="26" spans="1:16" x14ac:dyDescent="0.25">
      <c r="A26" s="6"/>
      <c r="B26" s="6"/>
      <c r="E26" s="287" t="s">
        <v>43</v>
      </c>
      <c r="F26" s="287"/>
      <c r="G26" s="294" t="s">
        <v>47</v>
      </c>
      <c r="H26" s="296"/>
      <c r="I26" s="288" t="s">
        <v>55</v>
      </c>
      <c r="J26" s="288"/>
      <c r="K26" s="287" t="s">
        <v>61</v>
      </c>
      <c r="L26" s="287"/>
      <c r="M26" s="288" t="s">
        <v>64</v>
      </c>
      <c r="N26" s="288"/>
      <c r="O26" s="288"/>
      <c r="P26" s="288"/>
    </row>
    <row r="27" spans="1:16" x14ac:dyDescent="0.25">
      <c r="A27" s="6"/>
      <c r="B27" s="6"/>
      <c r="E27" s="33" t="s">
        <v>13</v>
      </c>
      <c r="F27" s="33" t="s">
        <v>16</v>
      </c>
      <c r="G27" s="12" t="s">
        <v>13</v>
      </c>
      <c r="H27" s="12" t="s">
        <v>16</v>
      </c>
      <c r="I27" s="31" t="s">
        <v>13</v>
      </c>
      <c r="J27" s="31" t="s">
        <v>16</v>
      </c>
      <c r="K27" s="33" t="s">
        <v>13</v>
      </c>
      <c r="L27" s="33" t="s">
        <v>16</v>
      </c>
      <c r="M27" s="31" t="s">
        <v>13</v>
      </c>
      <c r="N27" s="31" t="s">
        <v>16</v>
      </c>
      <c r="O27" s="31" t="s">
        <v>13</v>
      </c>
      <c r="P27" s="31" t="s">
        <v>16</v>
      </c>
    </row>
    <row r="28" spans="1:16" x14ac:dyDescent="0.25">
      <c r="E28" s="41" t="s">
        <v>183</v>
      </c>
      <c r="F28" s="33">
        <v>100</v>
      </c>
      <c r="G28" s="61" t="s">
        <v>183</v>
      </c>
      <c r="H28" s="12">
        <v>100</v>
      </c>
      <c r="I28" s="44" t="s">
        <v>183</v>
      </c>
      <c r="J28" s="31">
        <v>100</v>
      </c>
      <c r="K28" s="41" t="s">
        <v>183</v>
      </c>
      <c r="L28" s="33">
        <v>100</v>
      </c>
      <c r="M28" s="44" t="s">
        <v>183</v>
      </c>
      <c r="N28" s="31">
        <v>100</v>
      </c>
      <c r="O28" s="44" t="s">
        <v>183</v>
      </c>
      <c r="P28" s="31">
        <v>100</v>
      </c>
    </row>
    <row r="29" spans="1:16" x14ac:dyDescent="0.25">
      <c r="E29" s="41" t="s">
        <v>14</v>
      </c>
      <c r="F29" s="100" t="s">
        <v>124</v>
      </c>
      <c r="G29" s="61" t="s">
        <v>14</v>
      </c>
      <c r="H29" s="92" t="s">
        <v>10</v>
      </c>
      <c r="I29" s="44" t="s">
        <v>14</v>
      </c>
      <c r="J29" s="93" t="s">
        <v>123</v>
      </c>
      <c r="K29" s="41" t="s">
        <v>14</v>
      </c>
      <c r="L29" s="100" t="s">
        <v>129</v>
      </c>
      <c r="M29" s="44" t="s">
        <v>14</v>
      </c>
      <c r="N29" s="93" t="s">
        <v>123</v>
      </c>
      <c r="O29" s="44" t="s">
        <v>14</v>
      </c>
      <c r="P29" s="93" t="s">
        <v>123</v>
      </c>
    </row>
    <row r="30" spans="1:16" x14ac:dyDescent="0.25">
      <c r="E30" s="282" t="s">
        <v>44</v>
      </c>
      <c r="F30" s="282"/>
      <c r="G30" s="284" t="s">
        <v>50</v>
      </c>
      <c r="H30" s="285"/>
      <c r="I30" s="282" t="s">
        <v>56</v>
      </c>
      <c r="J30" s="282"/>
      <c r="K30" s="286" t="s">
        <v>62</v>
      </c>
      <c r="L30" s="286"/>
      <c r="M30" s="291" t="s">
        <v>203</v>
      </c>
      <c r="N30" s="292"/>
      <c r="O30" s="292"/>
      <c r="P30" s="293"/>
    </row>
    <row r="31" spans="1:16" x14ac:dyDescent="0.25">
      <c r="E31" s="23" t="s">
        <v>13</v>
      </c>
      <c r="F31" s="23" t="s">
        <v>16</v>
      </c>
      <c r="G31" s="22" t="s">
        <v>13</v>
      </c>
      <c r="H31" s="22" t="s">
        <v>16</v>
      </c>
      <c r="I31" s="23" t="s">
        <v>13</v>
      </c>
      <c r="J31" s="23" t="s">
        <v>16</v>
      </c>
      <c r="K31" s="12" t="s">
        <v>13</v>
      </c>
      <c r="L31" s="12" t="s">
        <v>16</v>
      </c>
      <c r="M31" s="33" t="s">
        <v>13</v>
      </c>
      <c r="N31" s="33" t="str">
        <f>B9</f>
        <v>Mo.Aj</v>
      </c>
      <c r="O31" s="33" t="s">
        <v>13</v>
      </c>
      <c r="P31" s="33" t="str">
        <f>B10</f>
        <v>Mo.Po</v>
      </c>
    </row>
    <row r="32" spans="1:16" x14ac:dyDescent="0.25">
      <c r="E32" s="46" t="s">
        <v>183</v>
      </c>
      <c r="F32" s="23">
        <v>100</v>
      </c>
      <c r="G32" s="67" t="s">
        <v>183</v>
      </c>
      <c r="H32" s="22">
        <v>100</v>
      </c>
      <c r="I32" s="46" t="s">
        <v>183</v>
      </c>
      <c r="J32" s="23">
        <v>100</v>
      </c>
      <c r="K32" s="61" t="s">
        <v>183</v>
      </c>
      <c r="L32" s="12">
        <v>100</v>
      </c>
      <c r="M32" s="41" t="s">
        <v>183</v>
      </c>
      <c r="N32" s="33">
        <v>100</v>
      </c>
      <c r="O32" s="41" t="s">
        <v>183</v>
      </c>
      <c r="P32" s="33">
        <v>100</v>
      </c>
    </row>
    <row r="33" spans="3:16" x14ac:dyDescent="0.25">
      <c r="E33" s="46" t="s">
        <v>14</v>
      </c>
      <c r="F33" s="102" t="s">
        <v>123</v>
      </c>
      <c r="G33" s="67" t="s">
        <v>14</v>
      </c>
      <c r="H33" s="20" t="s">
        <v>124</v>
      </c>
      <c r="I33" s="46" t="s">
        <v>14</v>
      </c>
      <c r="J33" s="102" t="s">
        <v>124</v>
      </c>
      <c r="K33" s="61" t="s">
        <v>14</v>
      </c>
      <c r="L33" s="92" t="s">
        <v>123</v>
      </c>
      <c r="M33" s="41" t="s">
        <v>14</v>
      </c>
      <c r="N33" s="115"/>
      <c r="O33" s="41" t="s">
        <v>14</v>
      </c>
      <c r="P33" s="100"/>
    </row>
    <row r="34" spans="3:16" x14ac:dyDescent="0.25">
      <c r="E34" s="289" t="s">
        <v>45</v>
      </c>
      <c r="F34" s="289"/>
      <c r="G34" s="291" t="s">
        <v>51</v>
      </c>
      <c r="H34" s="293"/>
      <c r="I34" s="298" t="s">
        <v>57</v>
      </c>
      <c r="J34" s="298"/>
      <c r="K34" s="288" t="s">
        <v>63</v>
      </c>
      <c r="L34" s="288"/>
      <c r="M34" s="294" t="s">
        <v>105</v>
      </c>
      <c r="N34" s="295"/>
      <c r="O34" s="295"/>
      <c r="P34" s="296"/>
    </row>
    <row r="35" spans="3:16" x14ac:dyDescent="0.25">
      <c r="E35" s="22" t="s">
        <v>13</v>
      </c>
      <c r="F35" s="22" t="str">
        <f>B10</f>
        <v>Mo.Po</v>
      </c>
      <c r="G35" s="33" t="s">
        <v>13</v>
      </c>
      <c r="H35" s="33" t="str">
        <f>B8</f>
        <v>Mo.Al</v>
      </c>
      <c r="I35" s="12" t="s">
        <v>13</v>
      </c>
      <c r="J35" s="12" t="str">
        <f>B12</f>
        <v>C.M.P</v>
      </c>
      <c r="K35" s="31" t="s">
        <v>13</v>
      </c>
      <c r="L35" s="31" t="str">
        <f>B8</f>
        <v>Mo.Al</v>
      </c>
      <c r="M35" s="12" t="s">
        <v>13</v>
      </c>
      <c r="N35" s="61" t="str">
        <f>B8</f>
        <v>Mo.Al</v>
      </c>
      <c r="O35" s="12" t="s">
        <v>13</v>
      </c>
      <c r="P35" s="12" t="s">
        <v>66</v>
      </c>
    </row>
    <row r="36" spans="3:16" x14ac:dyDescent="0.25">
      <c r="E36" s="67" t="s">
        <v>183</v>
      </c>
      <c r="F36" s="22">
        <v>100</v>
      </c>
      <c r="G36" s="41" t="s">
        <v>183</v>
      </c>
      <c r="H36" s="33">
        <v>107</v>
      </c>
      <c r="I36" s="61" t="s">
        <v>183</v>
      </c>
      <c r="J36" s="12">
        <v>60</v>
      </c>
      <c r="K36" s="44" t="s">
        <v>183</v>
      </c>
      <c r="L36" s="31">
        <v>78</v>
      </c>
      <c r="M36" s="61" t="s">
        <v>183</v>
      </c>
      <c r="N36" s="61">
        <v>95</v>
      </c>
      <c r="O36" s="61" t="s">
        <v>183</v>
      </c>
      <c r="P36" s="12">
        <v>53</v>
      </c>
    </row>
    <row r="37" spans="3:16" ht="45" x14ac:dyDescent="0.25">
      <c r="E37" s="67" t="s">
        <v>14</v>
      </c>
      <c r="F37" s="20" t="s">
        <v>128</v>
      </c>
      <c r="G37" s="41" t="s">
        <v>14</v>
      </c>
      <c r="H37" s="100" t="s">
        <v>122</v>
      </c>
      <c r="I37" s="61" t="s">
        <v>14</v>
      </c>
      <c r="J37" s="113" t="s">
        <v>11</v>
      </c>
      <c r="K37" s="44" t="s">
        <v>14</v>
      </c>
      <c r="L37" s="93" t="s">
        <v>10</v>
      </c>
      <c r="M37" s="61" t="s">
        <v>14</v>
      </c>
      <c r="N37" s="116" t="s">
        <v>65</v>
      </c>
      <c r="O37" s="61" t="s">
        <v>14</v>
      </c>
      <c r="P37" s="116" t="s">
        <v>67</v>
      </c>
    </row>
    <row r="38" spans="3:16" x14ac:dyDescent="0.25">
      <c r="E38" s="283" t="s">
        <v>46</v>
      </c>
      <c r="F38" s="283"/>
      <c r="G38" s="294" t="s">
        <v>52</v>
      </c>
      <c r="H38" s="296"/>
      <c r="I38" s="299" t="s">
        <v>58</v>
      </c>
      <c r="J38" s="299"/>
    </row>
    <row r="39" spans="3:16" x14ac:dyDescent="0.25">
      <c r="E39" s="17" t="s">
        <v>13</v>
      </c>
      <c r="F39" s="17" t="str">
        <f>B10</f>
        <v>Mo.Po</v>
      </c>
      <c r="G39" s="12" t="s">
        <v>13</v>
      </c>
      <c r="H39" s="12" t="str">
        <f>B8</f>
        <v>Mo.Al</v>
      </c>
      <c r="I39" s="23" t="s">
        <v>13</v>
      </c>
      <c r="J39" s="23" t="s">
        <v>30</v>
      </c>
    </row>
    <row r="40" spans="3:16" x14ac:dyDescent="0.25">
      <c r="E40" s="57" t="s">
        <v>183</v>
      </c>
      <c r="F40" s="17">
        <v>48</v>
      </c>
      <c r="G40" s="61" t="s">
        <v>183</v>
      </c>
      <c r="H40" s="12">
        <v>90</v>
      </c>
      <c r="I40" s="46" t="s">
        <v>183</v>
      </c>
      <c r="J40" s="23">
        <v>60</v>
      </c>
    </row>
    <row r="41" spans="3:16" x14ac:dyDescent="0.25">
      <c r="E41" s="57" t="s">
        <v>14</v>
      </c>
      <c r="F41" s="101" t="s">
        <v>126</v>
      </c>
      <c r="G41" s="61" t="s">
        <v>14</v>
      </c>
      <c r="H41" s="92" t="s">
        <v>126</v>
      </c>
      <c r="I41" s="46" t="s">
        <v>14</v>
      </c>
      <c r="J41" s="102" t="s">
        <v>11</v>
      </c>
    </row>
    <row r="42" spans="3:16" x14ac:dyDescent="0.25">
      <c r="C42" s="275" t="s">
        <v>194</v>
      </c>
      <c r="D42" s="275"/>
      <c r="E42" s="282" t="s">
        <v>48</v>
      </c>
      <c r="F42" s="278"/>
      <c r="G42" s="275" t="s">
        <v>53</v>
      </c>
      <c r="H42" s="275"/>
      <c r="I42" s="300" t="s">
        <v>59</v>
      </c>
      <c r="J42" s="300"/>
    </row>
    <row r="43" spans="3:16" x14ac:dyDescent="0.25">
      <c r="C43" s="110" t="s">
        <v>13</v>
      </c>
      <c r="D43" s="22" t="str">
        <f>B10</f>
        <v>Mo.Po</v>
      </c>
      <c r="E43" s="23" t="s">
        <v>13</v>
      </c>
      <c r="F43" s="108" t="str">
        <f>B10</f>
        <v>Mo.Po</v>
      </c>
      <c r="G43" s="22" t="s">
        <v>13</v>
      </c>
      <c r="H43" s="22" t="str">
        <f>B8</f>
        <v>Mo.Al</v>
      </c>
      <c r="I43" s="17" t="s">
        <v>13</v>
      </c>
      <c r="J43" s="17" t="s">
        <v>30</v>
      </c>
    </row>
    <row r="44" spans="3:16" x14ac:dyDescent="0.25">
      <c r="C44" s="67" t="s">
        <v>183</v>
      </c>
      <c r="D44" s="22">
        <v>113</v>
      </c>
      <c r="E44" s="46" t="s">
        <v>183</v>
      </c>
      <c r="F44" s="108">
        <v>100</v>
      </c>
      <c r="G44" s="67" t="s">
        <v>183</v>
      </c>
      <c r="H44" s="22">
        <v>81</v>
      </c>
      <c r="I44" s="57" t="s">
        <v>183</v>
      </c>
      <c r="J44" s="17">
        <v>60</v>
      </c>
    </row>
    <row r="45" spans="3:16" ht="30" x14ac:dyDescent="0.25">
      <c r="C45" s="67" t="s">
        <v>14</v>
      </c>
      <c r="D45" s="20" t="s">
        <v>124</v>
      </c>
      <c r="E45" s="46" t="s">
        <v>14</v>
      </c>
      <c r="F45" s="109" t="s">
        <v>49</v>
      </c>
      <c r="G45" s="67" t="s">
        <v>14</v>
      </c>
      <c r="H45" s="112" t="s">
        <v>123</v>
      </c>
      <c r="I45" s="57" t="s">
        <v>14</v>
      </c>
      <c r="J45" s="101" t="s">
        <v>11</v>
      </c>
    </row>
    <row r="46" spans="3:16" x14ac:dyDescent="0.25">
      <c r="G46" s="286" t="s">
        <v>54</v>
      </c>
      <c r="H46" s="286"/>
      <c r="I46" s="301" t="s">
        <v>60</v>
      </c>
      <c r="J46" s="301"/>
    </row>
    <row r="47" spans="3:16" x14ac:dyDescent="0.25">
      <c r="G47" s="12" t="s">
        <v>13</v>
      </c>
      <c r="H47" s="12" t="str">
        <f>B8</f>
        <v>Mo.Al</v>
      </c>
      <c r="I47" s="27" t="s">
        <v>13</v>
      </c>
      <c r="J47" s="27" t="s">
        <v>30</v>
      </c>
    </row>
    <row r="48" spans="3:16" x14ac:dyDescent="0.25">
      <c r="G48" s="61" t="s">
        <v>183</v>
      </c>
      <c r="H48" s="12">
        <v>100</v>
      </c>
      <c r="I48" s="40" t="s">
        <v>183</v>
      </c>
      <c r="J48" s="27">
        <v>60</v>
      </c>
    </row>
    <row r="49" spans="3:12" x14ac:dyDescent="0.25">
      <c r="G49" s="61" t="s">
        <v>14</v>
      </c>
      <c r="H49" s="92" t="s">
        <v>126</v>
      </c>
      <c r="I49" s="40" t="s">
        <v>14</v>
      </c>
      <c r="J49" s="114" t="s">
        <v>11</v>
      </c>
    </row>
    <row r="56" spans="3:12" x14ac:dyDescent="0.25">
      <c r="C56" s="290" t="s">
        <v>336</v>
      </c>
      <c r="D56" s="290"/>
      <c r="E56" s="290"/>
      <c r="F56" s="290"/>
      <c r="G56" s="290"/>
      <c r="H56" s="290"/>
      <c r="I56" s="290"/>
      <c r="J56" s="290"/>
      <c r="K56" s="290"/>
      <c r="L56" s="290"/>
    </row>
    <row r="57" spans="3:12" x14ac:dyDescent="0.25">
      <c r="C57" s="284" t="s">
        <v>322</v>
      </c>
      <c r="D57" s="305"/>
      <c r="E57" s="305"/>
      <c r="F57" s="305"/>
      <c r="G57" s="305"/>
      <c r="H57" s="305"/>
      <c r="I57" s="305"/>
      <c r="J57" s="285"/>
      <c r="K57" s="294" t="s">
        <v>323</v>
      </c>
      <c r="L57" s="296"/>
    </row>
    <row r="58" spans="3:12" x14ac:dyDescent="0.25">
      <c r="C58" s="284" t="s">
        <v>13</v>
      </c>
      <c r="D58" s="305"/>
      <c r="E58" s="305"/>
      <c r="F58" s="305"/>
      <c r="G58" s="305"/>
      <c r="H58" s="305"/>
      <c r="I58" s="285"/>
      <c r="J58" s="21"/>
      <c r="K58" s="13" t="s">
        <v>13</v>
      </c>
      <c r="L58" s="13"/>
    </row>
    <row r="59" spans="3:12" x14ac:dyDescent="0.25">
      <c r="C59" s="284" t="s">
        <v>321</v>
      </c>
      <c r="D59" s="305"/>
      <c r="E59" s="305"/>
      <c r="F59" s="305"/>
      <c r="G59" s="305"/>
      <c r="H59" s="305"/>
      <c r="I59" s="285"/>
      <c r="J59" s="21"/>
      <c r="K59" s="13" t="s">
        <v>280</v>
      </c>
      <c r="L59" s="13"/>
    </row>
    <row r="60" spans="3:12" x14ac:dyDescent="0.25">
      <c r="C60" s="284" t="s">
        <v>14</v>
      </c>
      <c r="D60" s="305"/>
      <c r="E60" s="305"/>
      <c r="F60" s="305"/>
      <c r="G60" s="305"/>
      <c r="H60" s="305"/>
      <c r="I60" s="285"/>
      <c r="J60" s="21"/>
      <c r="K60" s="13" t="s">
        <v>14</v>
      </c>
      <c r="L60" s="13"/>
    </row>
    <row r="61" spans="3:12" x14ac:dyDescent="0.25">
      <c r="C61" s="302" t="s">
        <v>325</v>
      </c>
      <c r="D61" s="304"/>
      <c r="E61" s="294" t="s">
        <v>326</v>
      </c>
      <c r="F61" s="296"/>
      <c r="G61" s="280" t="s">
        <v>327</v>
      </c>
      <c r="H61" s="281"/>
      <c r="I61" s="278" t="s">
        <v>337</v>
      </c>
      <c r="J61" s="279"/>
      <c r="K61" s="280" t="s">
        <v>324</v>
      </c>
      <c r="L61" s="281"/>
    </row>
    <row r="62" spans="3:12" x14ac:dyDescent="0.25">
      <c r="C62" s="28" t="s">
        <v>13</v>
      </c>
      <c r="D62" s="28"/>
      <c r="E62" s="13" t="s">
        <v>13</v>
      </c>
      <c r="F62" s="13"/>
      <c r="G62" s="18" t="s">
        <v>13</v>
      </c>
      <c r="H62" s="18"/>
      <c r="I62" s="24" t="s">
        <v>13</v>
      </c>
      <c r="J62" s="24"/>
      <c r="K62" s="18" t="s">
        <v>13</v>
      </c>
      <c r="L62" s="18"/>
    </row>
    <row r="63" spans="3:12" x14ac:dyDescent="0.25">
      <c r="C63" s="28" t="s">
        <v>321</v>
      </c>
      <c r="D63" s="28"/>
      <c r="E63" s="13" t="s">
        <v>321</v>
      </c>
      <c r="F63" s="13"/>
      <c r="G63" s="18" t="s">
        <v>321</v>
      </c>
      <c r="H63" s="18"/>
      <c r="I63" s="24" t="s">
        <v>321</v>
      </c>
      <c r="J63" s="24"/>
      <c r="K63" s="18" t="s">
        <v>321</v>
      </c>
      <c r="L63" s="18"/>
    </row>
    <row r="64" spans="3:12" x14ac:dyDescent="0.25">
      <c r="C64" s="28" t="s">
        <v>14</v>
      </c>
      <c r="D64" s="28"/>
      <c r="E64" s="13" t="s">
        <v>14</v>
      </c>
      <c r="F64" s="13"/>
      <c r="G64" s="18" t="s">
        <v>14</v>
      </c>
      <c r="H64" s="18"/>
      <c r="I64" s="24" t="s">
        <v>14</v>
      </c>
      <c r="J64" s="24"/>
      <c r="K64" s="18" t="s">
        <v>14</v>
      </c>
      <c r="L64" s="18"/>
    </row>
    <row r="65" spans="2:13" x14ac:dyDescent="0.25">
      <c r="C65" s="306" t="s">
        <v>377</v>
      </c>
      <c r="D65" s="275"/>
      <c r="E65" s="275"/>
      <c r="F65" s="275"/>
      <c r="G65" s="275"/>
      <c r="H65" s="275"/>
      <c r="I65" s="275"/>
      <c r="J65" s="275"/>
      <c r="K65" s="275"/>
      <c r="L65" s="306"/>
    </row>
    <row r="66" spans="2:13" x14ac:dyDescent="0.25">
      <c r="B66" s="282" t="s">
        <v>27</v>
      </c>
      <c r="C66" s="282"/>
      <c r="D66" s="282"/>
      <c r="E66" s="282"/>
      <c r="F66" s="280" t="s">
        <v>28</v>
      </c>
      <c r="G66" s="307"/>
      <c r="H66" s="307"/>
      <c r="I66" s="281"/>
      <c r="J66" s="294" t="s">
        <v>29</v>
      </c>
      <c r="K66" s="295"/>
      <c r="L66" s="295"/>
      <c r="M66" s="296"/>
    </row>
    <row r="67" spans="2:13" x14ac:dyDescent="0.25">
      <c r="B67" s="286" t="s">
        <v>348</v>
      </c>
      <c r="C67" s="286"/>
      <c r="D67" s="288" t="s">
        <v>349</v>
      </c>
      <c r="E67" s="288"/>
      <c r="F67" s="286" t="s">
        <v>350</v>
      </c>
      <c r="G67" s="286"/>
      <c r="H67" s="275" t="s">
        <v>351</v>
      </c>
      <c r="I67" s="275"/>
      <c r="J67" s="282" t="s">
        <v>352</v>
      </c>
      <c r="K67" s="282"/>
      <c r="L67" s="283" t="s">
        <v>353</v>
      </c>
      <c r="M67" s="283"/>
    </row>
    <row r="68" spans="2:13" x14ac:dyDescent="0.25">
      <c r="B68" s="28" t="s">
        <v>13</v>
      </c>
      <c r="C68" s="28"/>
      <c r="D68" s="24" t="s">
        <v>13</v>
      </c>
      <c r="E68" s="24"/>
      <c r="F68" s="21" t="s">
        <v>13</v>
      </c>
      <c r="G68" s="21"/>
      <c r="H68" s="13" t="s">
        <v>13</v>
      </c>
      <c r="I68" s="13"/>
      <c r="J68" s="18" t="s">
        <v>13</v>
      </c>
      <c r="K68" s="18"/>
      <c r="L68" s="24" t="s">
        <v>13</v>
      </c>
      <c r="M68" s="24"/>
    </row>
    <row r="69" spans="2:13" x14ac:dyDescent="0.25">
      <c r="B69" s="28" t="s">
        <v>280</v>
      </c>
      <c r="C69" s="28"/>
      <c r="D69" s="24" t="s">
        <v>280</v>
      </c>
      <c r="E69" s="24"/>
      <c r="F69" s="21" t="s">
        <v>280</v>
      </c>
      <c r="G69" s="21"/>
      <c r="H69" s="13" t="s">
        <v>280</v>
      </c>
      <c r="I69" s="13"/>
      <c r="J69" s="18" t="s">
        <v>280</v>
      </c>
      <c r="K69" s="18"/>
      <c r="L69" s="24" t="s">
        <v>280</v>
      </c>
      <c r="M69" s="24"/>
    </row>
    <row r="70" spans="2:13" x14ac:dyDescent="0.25">
      <c r="B70" s="28" t="s">
        <v>14</v>
      </c>
      <c r="C70" s="28"/>
      <c r="D70" s="24" t="s">
        <v>14</v>
      </c>
      <c r="E70" s="24"/>
      <c r="F70" s="21" t="s">
        <v>14</v>
      </c>
      <c r="G70" s="21"/>
      <c r="H70" s="13" t="s">
        <v>14</v>
      </c>
      <c r="I70" s="13"/>
      <c r="J70" s="18" t="s">
        <v>14</v>
      </c>
      <c r="K70" s="18"/>
      <c r="L70" s="24" t="s">
        <v>14</v>
      </c>
      <c r="M70" s="24"/>
    </row>
    <row r="71" spans="2:13" x14ac:dyDescent="0.25">
      <c r="B71" s="24" t="s">
        <v>13</v>
      </c>
      <c r="C71" s="24"/>
      <c r="D71" s="34" t="s">
        <v>13</v>
      </c>
      <c r="E71" s="34"/>
      <c r="F71" s="24" t="s">
        <v>13</v>
      </c>
      <c r="G71" s="24"/>
      <c r="H71" s="28" t="s">
        <v>13</v>
      </c>
      <c r="I71" s="28"/>
      <c r="J71" s="21" t="s">
        <v>13</v>
      </c>
      <c r="K71" s="21"/>
      <c r="L71" s="28" t="s">
        <v>13</v>
      </c>
      <c r="M71" s="28"/>
    </row>
    <row r="72" spans="2:13" x14ac:dyDescent="0.25">
      <c r="B72" s="24" t="s">
        <v>280</v>
      </c>
      <c r="C72" s="24"/>
      <c r="D72" s="34" t="s">
        <v>280</v>
      </c>
      <c r="E72" s="34"/>
      <c r="F72" s="24" t="s">
        <v>280</v>
      </c>
      <c r="G72" s="24"/>
      <c r="H72" s="28" t="s">
        <v>280</v>
      </c>
      <c r="I72" s="28"/>
      <c r="J72" s="21" t="s">
        <v>280</v>
      </c>
      <c r="K72" s="21"/>
      <c r="L72" s="28" t="s">
        <v>280</v>
      </c>
      <c r="M72" s="28"/>
    </row>
    <row r="73" spans="2:13" x14ac:dyDescent="0.25">
      <c r="B73" s="24" t="s">
        <v>14</v>
      </c>
      <c r="C73" s="24"/>
      <c r="D73" s="34" t="s">
        <v>14</v>
      </c>
      <c r="E73" s="34"/>
      <c r="F73" s="24" t="s">
        <v>14</v>
      </c>
      <c r="G73" s="24"/>
      <c r="H73" s="28" t="s">
        <v>14</v>
      </c>
      <c r="I73" s="28"/>
      <c r="J73" s="21" t="s">
        <v>14</v>
      </c>
      <c r="K73" s="21"/>
      <c r="L73" s="28" t="s">
        <v>14</v>
      </c>
      <c r="M73" s="28"/>
    </row>
    <row r="74" spans="2:13" x14ac:dyDescent="0.25">
      <c r="B74" s="32" t="s">
        <v>13</v>
      </c>
      <c r="C74" s="32"/>
      <c r="D74" s="13" t="s">
        <v>13</v>
      </c>
      <c r="E74" s="13"/>
      <c r="F74" s="28" t="s">
        <v>13</v>
      </c>
      <c r="G74" s="28"/>
      <c r="H74" s="24" t="s">
        <v>13</v>
      </c>
      <c r="I74" s="24"/>
      <c r="J74" s="13" t="s">
        <v>13</v>
      </c>
      <c r="K74" s="13"/>
      <c r="L74" s="21" t="s">
        <v>13</v>
      </c>
      <c r="M74" s="21"/>
    </row>
    <row r="75" spans="2:13" x14ac:dyDescent="0.25">
      <c r="B75" s="32" t="s">
        <v>280</v>
      </c>
      <c r="C75" s="32"/>
      <c r="D75" s="13" t="s">
        <v>280</v>
      </c>
      <c r="E75" s="13"/>
      <c r="F75" s="28" t="s">
        <v>280</v>
      </c>
      <c r="G75" s="28"/>
      <c r="H75" s="24" t="s">
        <v>280</v>
      </c>
      <c r="I75" s="24"/>
      <c r="J75" s="13" t="s">
        <v>280</v>
      </c>
      <c r="K75" s="13"/>
      <c r="L75" s="21" t="s">
        <v>280</v>
      </c>
      <c r="M75" s="21"/>
    </row>
    <row r="76" spans="2:13" x14ac:dyDescent="0.25">
      <c r="B76" s="32" t="s">
        <v>14</v>
      </c>
      <c r="C76" s="32"/>
      <c r="D76" s="13" t="s">
        <v>14</v>
      </c>
      <c r="E76" s="13"/>
      <c r="F76" s="28" t="s">
        <v>14</v>
      </c>
      <c r="G76" s="28"/>
      <c r="H76" s="24" t="s">
        <v>14</v>
      </c>
      <c r="I76" s="24"/>
      <c r="J76" s="13" t="s">
        <v>14</v>
      </c>
      <c r="K76" s="13"/>
      <c r="L76" s="21" t="s">
        <v>14</v>
      </c>
      <c r="M76" s="21"/>
    </row>
    <row r="77" spans="2:13" x14ac:dyDescent="0.25">
      <c r="C77" s="35"/>
      <c r="D77" s="35"/>
      <c r="E77" s="35"/>
      <c r="F77" s="35"/>
      <c r="G77" s="35"/>
      <c r="H77" s="35"/>
    </row>
    <row r="78" spans="2:13" x14ac:dyDescent="0.25">
      <c r="C78" s="5"/>
      <c r="D78" s="5"/>
      <c r="E78" s="5"/>
      <c r="F78" s="5"/>
      <c r="G78" s="5"/>
      <c r="H78" s="5"/>
      <c r="I78" s="209"/>
      <c r="J78" s="209"/>
      <c r="K78" s="209"/>
    </row>
    <row r="79" spans="2:13" x14ac:dyDescent="0.25">
      <c r="C79" s="5"/>
      <c r="D79" s="282" t="s">
        <v>354</v>
      </c>
      <c r="E79" s="282"/>
      <c r="F79" s="282"/>
      <c r="G79" s="282"/>
      <c r="H79" s="282"/>
      <c r="I79" s="282"/>
    </row>
    <row r="80" spans="2:13" x14ac:dyDescent="0.25">
      <c r="C80" s="35"/>
      <c r="D80" s="287" t="s">
        <v>356</v>
      </c>
      <c r="E80" s="287"/>
      <c r="F80" s="286" t="s">
        <v>355</v>
      </c>
      <c r="G80" s="286"/>
      <c r="H80" s="275" t="s">
        <v>357</v>
      </c>
      <c r="I80" s="275"/>
    </row>
    <row r="81" spans="4:9" x14ac:dyDescent="0.25">
      <c r="D81" s="34" t="s">
        <v>13</v>
      </c>
      <c r="E81" s="34"/>
      <c r="F81" s="21" t="s">
        <v>13</v>
      </c>
      <c r="G81" s="21"/>
      <c r="H81" s="28" t="s">
        <v>13</v>
      </c>
      <c r="I81" s="28"/>
    </row>
    <row r="82" spans="4:9" x14ac:dyDescent="0.25">
      <c r="D82" s="34" t="s">
        <v>280</v>
      </c>
      <c r="E82" s="34"/>
      <c r="F82" s="21" t="s">
        <v>280</v>
      </c>
      <c r="G82" s="21"/>
      <c r="H82" s="28" t="s">
        <v>280</v>
      </c>
      <c r="I82" s="28"/>
    </row>
    <row r="83" spans="4:9" x14ac:dyDescent="0.25">
      <c r="D83" s="34" t="s">
        <v>14</v>
      </c>
      <c r="E83" s="34"/>
      <c r="F83" s="21" t="s">
        <v>14</v>
      </c>
      <c r="G83" s="21"/>
      <c r="H83" s="28" t="s">
        <v>14</v>
      </c>
      <c r="I83" s="28"/>
    </row>
    <row r="84" spans="4:9" x14ac:dyDescent="0.25">
      <c r="D84" s="24" t="s">
        <v>13</v>
      </c>
      <c r="E84" s="24"/>
      <c r="F84" s="13" t="s">
        <v>13</v>
      </c>
      <c r="G84" s="13"/>
      <c r="H84" s="18" t="s">
        <v>13</v>
      </c>
      <c r="I84" s="18"/>
    </row>
    <row r="85" spans="4:9" x14ac:dyDescent="0.25">
      <c r="D85" s="24" t="s">
        <v>280</v>
      </c>
      <c r="E85" s="24"/>
      <c r="F85" s="13" t="s">
        <v>280</v>
      </c>
      <c r="G85" s="13"/>
      <c r="H85" s="18" t="s">
        <v>280</v>
      </c>
      <c r="I85" s="18"/>
    </row>
    <row r="86" spans="4:9" x14ac:dyDescent="0.25">
      <c r="D86" s="24" t="s">
        <v>14</v>
      </c>
      <c r="E86" s="24"/>
      <c r="F86" s="13" t="s">
        <v>14</v>
      </c>
      <c r="G86" s="13"/>
      <c r="H86" s="18" t="s">
        <v>14</v>
      </c>
      <c r="I86" s="18"/>
    </row>
  </sheetData>
  <mergeCells count="82">
    <mergeCell ref="L67:M67"/>
    <mergeCell ref="D80:E80"/>
    <mergeCell ref="F80:G80"/>
    <mergeCell ref="H80:I80"/>
    <mergeCell ref="D79:I79"/>
    <mergeCell ref="B67:C67"/>
    <mergeCell ref="D67:E67"/>
    <mergeCell ref="F67:G67"/>
    <mergeCell ref="H67:I67"/>
    <mergeCell ref="J67:K67"/>
    <mergeCell ref="C65:L65"/>
    <mergeCell ref="B66:E66"/>
    <mergeCell ref="F66:I66"/>
    <mergeCell ref="J66:M66"/>
    <mergeCell ref="C56:L56"/>
    <mergeCell ref="K57:L57"/>
    <mergeCell ref="K61:L61"/>
    <mergeCell ref="I61:J61"/>
    <mergeCell ref="G61:H61"/>
    <mergeCell ref="E61:F61"/>
    <mergeCell ref="C61:D61"/>
    <mergeCell ref="C57:J57"/>
    <mergeCell ref="C58:I58"/>
    <mergeCell ref="C59:I59"/>
    <mergeCell ref="C60:I60"/>
    <mergeCell ref="E1:F1"/>
    <mergeCell ref="C2:D2"/>
    <mergeCell ref="K10:N10"/>
    <mergeCell ref="K14:N14"/>
    <mergeCell ref="E6:F6"/>
    <mergeCell ref="E10:F10"/>
    <mergeCell ref="E14:F14"/>
    <mergeCell ref="O6:P6"/>
    <mergeCell ref="O1:P1"/>
    <mergeCell ref="O10:P10"/>
    <mergeCell ref="O14:P14"/>
    <mergeCell ref="E21:F21"/>
    <mergeCell ref="K21:L21"/>
    <mergeCell ref="E2:F2"/>
    <mergeCell ref="G2:J2"/>
    <mergeCell ref="K2:N2"/>
    <mergeCell ref="O2:P2"/>
    <mergeCell ref="G6:J6"/>
    <mergeCell ref="G10:J10"/>
    <mergeCell ref="G14:J14"/>
    <mergeCell ref="G1:J1"/>
    <mergeCell ref="K1:N1"/>
    <mergeCell ref="K6:N6"/>
    <mergeCell ref="G46:H46"/>
    <mergeCell ref="I21:J21"/>
    <mergeCell ref="I26:J26"/>
    <mergeCell ref="I30:J30"/>
    <mergeCell ref="I34:J34"/>
    <mergeCell ref="I38:J38"/>
    <mergeCell ref="I42:J42"/>
    <mergeCell ref="I46:J46"/>
    <mergeCell ref="G21:H21"/>
    <mergeCell ref="G26:H26"/>
    <mergeCell ref="G30:H30"/>
    <mergeCell ref="G34:H34"/>
    <mergeCell ref="G38:H38"/>
    <mergeCell ref="M21:P21"/>
    <mergeCell ref="M26:P26"/>
    <mergeCell ref="M30:P30"/>
    <mergeCell ref="M34:P34"/>
    <mergeCell ref="M22:P22"/>
    <mergeCell ref="K22:L22"/>
    <mergeCell ref="C22:D22"/>
    <mergeCell ref="K26:L26"/>
    <mergeCell ref="K30:L30"/>
    <mergeCell ref="K34:L34"/>
    <mergeCell ref="E26:F26"/>
    <mergeCell ref="E30:F30"/>
    <mergeCell ref="E34:F34"/>
    <mergeCell ref="A18:B18"/>
    <mergeCell ref="C42:D42"/>
    <mergeCell ref="E22:F22"/>
    <mergeCell ref="G22:H22"/>
    <mergeCell ref="I22:J22"/>
    <mergeCell ref="E42:F42"/>
    <mergeCell ref="G42:H42"/>
    <mergeCell ref="E38:F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36103-FC52-40A9-B0CC-E272DE7891FD}">
  <dimension ref="A1:T92"/>
  <sheetViews>
    <sheetView topLeftCell="J1" zoomScale="70" zoomScaleNormal="70" workbookViewId="0">
      <selection activeCell="P36" sqref="P36"/>
    </sheetView>
  </sheetViews>
  <sheetFormatPr baseColWidth="10" defaultRowHeight="15" x14ac:dyDescent="0.25"/>
  <cols>
    <col min="2" max="2" width="15.140625" customWidth="1"/>
    <col min="4" max="4" width="14.42578125" customWidth="1"/>
    <col min="5" max="5" width="17" customWidth="1"/>
    <col min="6" max="7" width="17.28515625" customWidth="1"/>
    <col min="8" max="8" width="23.7109375" customWidth="1"/>
    <col min="9" max="9" width="21.85546875" customWidth="1"/>
    <col min="10" max="10" width="53.5703125" customWidth="1"/>
    <col min="11" max="11" width="16.5703125" customWidth="1"/>
    <col min="16" max="16" width="14.7109375" customWidth="1"/>
    <col min="17" max="17" width="16.85546875" customWidth="1"/>
    <col min="18" max="18" width="15.5703125" customWidth="1"/>
    <col min="19" max="19" width="17.5703125" customWidth="1"/>
    <col min="20" max="20" width="30.140625" customWidth="1"/>
  </cols>
  <sheetData>
    <row r="1" spans="1:20" x14ac:dyDescent="0.25">
      <c r="A1" s="1" t="s">
        <v>204</v>
      </c>
      <c r="B1" s="7" t="s">
        <v>117</v>
      </c>
      <c r="C1" s="7" t="s">
        <v>118</v>
      </c>
      <c r="D1" s="7" t="s">
        <v>14</v>
      </c>
      <c r="E1" s="7" t="s">
        <v>13</v>
      </c>
      <c r="F1" s="7" t="s">
        <v>119</v>
      </c>
      <c r="G1" s="7" t="s">
        <v>376</v>
      </c>
      <c r="H1" s="7" t="s">
        <v>211</v>
      </c>
      <c r="I1" s="7" t="s">
        <v>120</v>
      </c>
      <c r="J1" s="232" t="s">
        <v>121</v>
      </c>
      <c r="K1" s="220"/>
    </row>
    <row r="2" spans="1:20" x14ac:dyDescent="0.25">
      <c r="A2" s="322">
        <v>1</v>
      </c>
      <c r="B2" s="330" t="s">
        <v>1</v>
      </c>
      <c r="C2" s="47" t="s">
        <v>184</v>
      </c>
      <c r="D2" s="143">
        <f>PF!$D$5</f>
        <v>0</v>
      </c>
      <c r="E2" s="47" t="str">
        <f>PF!D3</f>
        <v>Consome</v>
      </c>
      <c r="F2" s="47">
        <f>PF!D4</f>
        <v>100</v>
      </c>
      <c r="G2" s="51"/>
      <c r="H2" s="51">
        <f t="shared" ref="H2:H33" si="0">F2*G2</f>
        <v>0</v>
      </c>
      <c r="I2" s="143"/>
      <c r="J2" s="233"/>
      <c r="K2" s="220"/>
    </row>
    <row r="3" spans="1:20" x14ac:dyDescent="0.25">
      <c r="A3" s="322"/>
      <c r="B3" s="331"/>
      <c r="C3" s="144" t="s">
        <v>68</v>
      </c>
      <c r="D3" s="145" t="s">
        <v>359</v>
      </c>
      <c r="E3" s="144" t="str">
        <f>PF!F3</f>
        <v>Consome</v>
      </c>
      <c r="F3" s="144">
        <f>PF!F4</f>
        <v>80</v>
      </c>
      <c r="G3" s="53"/>
      <c r="H3" s="53">
        <f t="shared" si="0"/>
        <v>0</v>
      </c>
      <c r="I3" s="145"/>
      <c r="J3" s="234"/>
      <c r="K3" s="221"/>
    </row>
    <row r="4" spans="1:20" x14ac:dyDescent="0.25">
      <c r="A4" s="322"/>
      <c r="B4" s="331"/>
      <c r="C4" s="146" t="s">
        <v>15</v>
      </c>
      <c r="D4" s="147" t="s">
        <v>360</v>
      </c>
      <c r="E4" s="146" t="str">
        <f>PF!F7</f>
        <v>Consome</v>
      </c>
      <c r="F4" s="146">
        <v>100</v>
      </c>
      <c r="G4" s="54"/>
      <c r="H4" s="54">
        <f t="shared" si="0"/>
        <v>0</v>
      </c>
      <c r="I4" s="147"/>
      <c r="J4" s="235"/>
      <c r="K4" s="221"/>
      <c r="L4" s="308" t="s">
        <v>328</v>
      </c>
      <c r="M4" s="203" t="s">
        <v>329</v>
      </c>
      <c r="N4" s="203" t="s">
        <v>14</v>
      </c>
      <c r="O4" s="203" t="s">
        <v>13</v>
      </c>
      <c r="P4" s="203" t="s">
        <v>330</v>
      </c>
      <c r="Q4" s="290" t="s">
        <v>121</v>
      </c>
      <c r="R4" s="290"/>
      <c r="S4" s="317"/>
      <c r="T4" s="254"/>
    </row>
    <row r="5" spans="1:20" x14ac:dyDescent="0.25">
      <c r="A5" s="322"/>
      <c r="B5" s="331"/>
      <c r="C5" s="14" t="s">
        <v>17</v>
      </c>
      <c r="D5" s="15" t="s">
        <v>360</v>
      </c>
      <c r="E5" s="14" t="str">
        <f>PF!F11</f>
        <v>Mo.Aj</v>
      </c>
      <c r="F5" s="14">
        <v>100</v>
      </c>
      <c r="G5" s="48"/>
      <c r="H5" s="48">
        <f t="shared" si="0"/>
        <v>0</v>
      </c>
      <c r="I5" s="15"/>
      <c r="J5" s="236"/>
      <c r="K5" s="221"/>
      <c r="L5" s="308"/>
      <c r="M5" s="18" t="s">
        <v>331</v>
      </c>
      <c r="N5" s="18">
        <f>PF!$H$64</f>
        <v>0</v>
      </c>
      <c r="O5" s="18">
        <f>PF!$H$62</f>
        <v>0</v>
      </c>
      <c r="P5" s="18">
        <f>PF!$H$63</f>
        <v>0</v>
      </c>
      <c r="Q5" s="283"/>
      <c r="R5" s="283"/>
      <c r="S5" s="280"/>
      <c r="T5" s="254"/>
    </row>
    <row r="6" spans="1:20" x14ac:dyDescent="0.25">
      <c r="A6" s="322"/>
      <c r="B6" s="332"/>
      <c r="C6" s="144" t="s">
        <v>33</v>
      </c>
      <c r="D6" s="95">
        <f>PF!$F$17</f>
        <v>0</v>
      </c>
      <c r="E6" s="144" t="str">
        <f>PF!F15</f>
        <v>Mo.Aj</v>
      </c>
      <c r="F6" s="144">
        <v>84</v>
      </c>
      <c r="G6" s="53"/>
      <c r="H6" s="53">
        <f t="shared" si="0"/>
        <v>0</v>
      </c>
      <c r="I6" s="95"/>
      <c r="J6" s="234"/>
      <c r="K6" s="221"/>
      <c r="L6" s="308"/>
      <c r="M6" s="13" t="s">
        <v>332</v>
      </c>
      <c r="N6" s="13">
        <f>PF!$F$64</f>
        <v>0</v>
      </c>
      <c r="O6" s="13">
        <f>PF!$F$62</f>
        <v>0</v>
      </c>
      <c r="P6" s="13">
        <f>PF!$F$63</f>
        <v>0</v>
      </c>
      <c r="Q6" s="286"/>
      <c r="R6" s="286"/>
      <c r="S6" s="294"/>
      <c r="T6" s="254"/>
    </row>
    <row r="7" spans="1:20" x14ac:dyDescent="0.25">
      <c r="A7" s="322"/>
      <c r="B7" s="327" t="s">
        <v>2</v>
      </c>
      <c r="C7" s="118" t="s">
        <v>175</v>
      </c>
      <c r="D7" s="30" t="str">
        <f>PF!$H$5</f>
        <v>-</v>
      </c>
      <c r="E7" s="118" t="str">
        <f>PF!H3</f>
        <v>-</v>
      </c>
      <c r="F7" s="118" t="str">
        <f>PF!H4</f>
        <v>-</v>
      </c>
      <c r="G7" s="205"/>
      <c r="H7" s="48" t="e">
        <f t="shared" si="0"/>
        <v>#VALUE!</v>
      </c>
      <c r="I7" s="30"/>
      <c r="J7" s="236"/>
      <c r="K7" s="221"/>
      <c r="L7" s="308"/>
      <c r="M7" s="28" t="s">
        <v>333</v>
      </c>
      <c r="N7" s="28">
        <f>PF!$D$64</f>
        <v>0</v>
      </c>
      <c r="O7" s="28">
        <f>PF!$D$62</f>
        <v>0</v>
      </c>
      <c r="P7" s="28">
        <f>PF!$D$63</f>
        <v>0</v>
      </c>
      <c r="Q7" s="316"/>
      <c r="R7" s="316"/>
      <c r="S7" s="302"/>
      <c r="T7" s="254"/>
    </row>
    <row r="8" spans="1:20" x14ac:dyDescent="0.25">
      <c r="A8" s="322"/>
      <c r="B8" s="328"/>
      <c r="C8" s="118" t="s">
        <v>176</v>
      </c>
      <c r="D8" s="30" t="str">
        <f>PF!$J$5</f>
        <v>-</v>
      </c>
      <c r="E8" s="118" t="str">
        <f>PF!J3</f>
        <v>-</v>
      </c>
      <c r="F8" s="118" t="str">
        <f>PF!J4</f>
        <v>-</v>
      </c>
      <c r="G8" s="205"/>
      <c r="H8" s="48" t="e">
        <f t="shared" si="0"/>
        <v>#VALUE!</v>
      </c>
      <c r="I8" s="30"/>
      <c r="J8" s="236"/>
      <c r="K8" s="221"/>
      <c r="L8" s="308"/>
      <c r="M8" s="21" t="s">
        <v>322</v>
      </c>
      <c r="N8" s="21">
        <f>PF!$J$60</f>
        <v>0</v>
      </c>
      <c r="O8" s="21">
        <f>PF!$J$58</f>
        <v>0</v>
      </c>
      <c r="P8" s="21">
        <f>PF!$J$59</f>
        <v>0</v>
      </c>
      <c r="Q8" s="275"/>
      <c r="R8" s="275"/>
      <c r="S8" s="284"/>
      <c r="T8" s="254"/>
    </row>
    <row r="9" spans="1:20" x14ac:dyDescent="0.25">
      <c r="A9" s="322"/>
      <c r="B9" s="328"/>
      <c r="C9" s="120" t="s">
        <v>177</v>
      </c>
      <c r="D9" s="150" t="str">
        <f>PF!$H$9</f>
        <v>-</v>
      </c>
      <c r="E9" s="120" t="str">
        <f>PF!H7</f>
        <v>Consome</v>
      </c>
      <c r="F9" s="120">
        <f>PF!H8</f>
        <v>100</v>
      </c>
      <c r="G9" s="202"/>
      <c r="H9" s="50">
        <f t="shared" si="0"/>
        <v>0</v>
      </c>
      <c r="I9" s="150"/>
      <c r="J9" s="237"/>
      <c r="K9" s="221"/>
      <c r="L9" s="308"/>
      <c r="M9" s="24" t="s">
        <v>334</v>
      </c>
      <c r="N9" s="24">
        <f>PF!$J$64</f>
        <v>0</v>
      </c>
      <c r="O9" s="24">
        <f>PF!$J$62</f>
        <v>0</v>
      </c>
      <c r="P9" s="24">
        <f>PF!$J$63</f>
        <v>0</v>
      </c>
      <c r="Q9" s="282"/>
      <c r="R9" s="282"/>
      <c r="S9" s="278"/>
      <c r="T9" s="254"/>
    </row>
    <row r="10" spans="1:20" x14ac:dyDescent="0.25">
      <c r="A10" s="322"/>
      <c r="B10" s="328"/>
      <c r="C10" s="120" t="s">
        <v>178</v>
      </c>
      <c r="D10" s="150" t="str">
        <f>PF!$J$9</f>
        <v>-</v>
      </c>
      <c r="E10" s="120" t="str">
        <f>PF!J7</f>
        <v>Empaque</v>
      </c>
      <c r="F10" s="120" t="str">
        <f>PF!J8</f>
        <v>-</v>
      </c>
      <c r="G10" s="202"/>
      <c r="H10" s="50" t="e">
        <f t="shared" si="0"/>
        <v>#VALUE!</v>
      </c>
      <c r="I10" s="150"/>
      <c r="J10" s="89"/>
      <c r="K10" s="221"/>
      <c r="L10" s="308"/>
      <c r="M10" s="13" t="s">
        <v>323</v>
      </c>
      <c r="N10" s="13">
        <f>PF!$L$60</f>
        <v>0</v>
      </c>
      <c r="O10" s="13">
        <f>PF!$L$58</f>
        <v>0</v>
      </c>
      <c r="P10" s="13">
        <f>PF!$L$59</f>
        <v>0</v>
      </c>
      <c r="Q10" s="286"/>
      <c r="R10" s="286"/>
      <c r="S10" s="294"/>
      <c r="T10" s="254"/>
    </row>
    <row r="11" spans="1:20" x14ac:dyDescent="0.25">
      <c r="A11" s="322"/>
      <c r="B11" s="328"/>
      <c r="C11" s="42" t="s">
        <v>179</v>
      </c>
      <c r="D11" s="224" t="str">
        <f>PF!$H$13</f>
        <v>150425</v>
      </c>
      <c r="E11" s="42" t="str">
        <f>PF!H11</f>
        <v>Mo.Aj</v>
      </c>
      <c r="F11" s="42">
        <f>PF!H12</f>
        <v>100</v>
      </c>
      <c r="G11" s="253"/>
      <c r="H11" s="49">
        <f t="shared" si="0"/>
        <v>0</v>
      </c>
      <c r="I11" s="224"/>
      <c r="J11" s="238"/>
      <c r="K11" s="221"/>
      <c r="L11" s="308"/>
      <c r="M11" s="34" t="s">
        <v>335</v>
      </c>
      <c r="N11" s="34">
        <f>PF!$L$64</f>
        <v>0</v>
      </c>
      <c r="O11" s="34">
        <f>PF!$L$62</f>
        <v>0</v>
      </c>
      <c r="P11" s="34">
        <f>PF!$L$63</f>
        <v>0</v>
      </c>
      <c r="Q11" s="287"/>
      <c r="R11" s="287"/>
      <c r="S11" s="291"/>
      <c r="T11" s="254"/>
    </row>
    <row r="12" spans="1:20" x14ac:dyDescent="0.25">
      <c r="A12" s="322"/>
      <c r="B12" s="328"/>
      <c r="C12" s="42" t="s">
        <v>180</v>
      </c>
      <c r="D12" s="224" t="str">
        <f>PF!$J$13</f>
        <v>-</v>
      </c>
      <c r="E12" s="42" t="str">
        <f>PF!J11</f>
        <v>-</v>
      </c>
      <c r="F12" s="42" t="str">
        <f>PF!J12</f>
        <v>-</v>
      </c>
      <c r="G12" s="253"/>
      <c r="H12" s="49" t="e">
        <f t="shared" si="0"/>
        <v>#VALUE!</v>
      </c>
      <c r="I12" s="224"/>
      <c r="J12" s="238"/>
      <c r="K12" s="221"/>
    </row>
    <row r="13" spans="1:20" x14ac:dyDescent="0.25">
      <c r="A13" s="322"/>
      <c r="B13" s="328"/>
      <c r="C13" s="122" t="s">
        <v>181</v>
      </c>
      <c r="D13" s="25" t="str">
        <f>PF!$H$17</f>
        <v>150425</v>
      </c>
      <c r="E13" s="122" t="str">
        <f>PF!H15</f>
        <v>Mo.Al</v>
      </c>
      <c r="F13" s="122">
        <f>PF!H16</f>
        <v>81</v>
      </c>
      <c r="G13" s="200"/>
      <c r="H13" s="51">
        <f t="shared" si="0"/>
        <v>0</v>
      </c>
      <c r="I13" s="25"/>
      <c r="J13" s="239"/>
      <c r="K13" s="221"/>
    </row>
    <row r="14" spans="1:20" ht="45" x14ac:dyDescent="0.25">
      <c r="A14" s="322"/>
      <c r="B14" s="329"/>
      <c r="C14" s="122" t="s">
        <v>182</v>
      </c>
      <c r="D14" s="25" t="str">
        <f>PF!$J$17</f>
        <v>010525</v>
      </c>
      <c r="E14" s="122" t="str">
        <f>PF!J15</f>
        <v>Mo.Aj</v>
      </c>
      <c r="F14" s="122">
        <f>PF!J16</f>
        <v>47</v>
      </c>
      <c r="G14" s="200"/>
      <c r="H14" s="51">
        <f t="shared" si="0"/>
        <v>0</v>
      </c>
      <c r="I14" s="25"/>
      <c r="J14" s="239"/>
      <c r="K14" s="221"/>
      <c r="L14" s="309" t="s">
        <v>372</v>
      </c>
      <c r="M14" s="203" t="s">
        <v>117</v>
      </c>
      <c r="N14" s="203" t="s">
        <v>378</v>
      </c>
      <c r="O14" s="203" t="s">
        <v>14</v>
      </c>
      <c r="P14" s="203" t="s">
        <v>13</v>
      </c>
      <c r="Q14" s="203" t="s">
        <v>374</v>
      </c>
      <c r="R14" s="252" t="s">
        <v>382</v>
      </c>
      <c r="S14" s="203" t="s">
        <v>344</v>
      </c>
      <c r="T14" s="203" t="s">
        <v>121</v>
      </c>
    </row>
    <row r="15" spans="1:20" x14ac:dyDescent="0.25">
      <c r="A15" s="322"/>
      <c r="B15" s="325" t="s">
        <v>3</v>
      </c>
      <c r="C15" s="100" t="s">
        <v>191</v>
      </c>
      <c r="D15" s="225" t="str">
        <f>PF!$L$5</f>
        <v>-</v>
      </c>
      <c r="E15" s="125" t="str">
        <f>PF!L3</f>
        <v>-</v>
      </c>
      <c r="F15" s="125" t="str">
        <f>PF!L4</f>
        <v>-</v>
      </c>
      <c r="G15" s="204"/>
      <c r="H15" s="148" t="e">
        <f t="shared" si="0"/>
        <v>#VALUE!</v>
      </c>
      <c r="I15" s="225"/>
      <c r="J15" s="240"/>
      <c r="K15" s="221"/>
      <c r="L15" s="308"/>
      <c r="M15" s="310" t="s">
        <v>27</v>
      </c>
      <c r="N15" s="313" t="s">
        <v>348</v>
      </c>
      <c r="O15" s="210">
        <f>PF!C70</f>
        <v>0</v>
      </c>
      <c r="P15" s="210">
        <f>PF!C68</f>
        <v>0</v>
      </c>
      <c r="Q15" s="210">
        <f>PF!C69</f>
        <v>0</v>
      </c>
      <c r="R15" s="210"/>
      <c r="S15" s="210">
        <f>Q15-R15</f>
        <v>0</v>
      </c>
      <c r="T15" s="210"/>
    </row>
    <row r="16" spans="1:20" x14ac:dyDescent="0.25">
      <c r="A16" s="322"/>
      <c r="B16" s="326"/>
      <c r="C16" s="100" t="s">
        <v>192</v>
      </c>
      <c r="D16" s="225" t="str">
        <f>PF!$N$5</f>
        <v>010525</v>
      </c>
      <c r="E16" s="125" t="str">
        <f>PF!N3</f>
        <v>Consome</v>
      </c>
      <c r="F16" s="125">
        <f>PF!N4</f>
        <v>48</v>
      </c>
      <c r="G16" s="204"/>
      <c r="H16" s="148">
        <f t="shared" si="0"/>
        <v>0</v>
      </c>
      <c r="I16" s="225"/>
      <c r="J16" s="240"/>
      <c r="K16" s="221"/>
      <c r="L16" s="308"/>
      <c r="M16" s="311"/>
      <c r="N16" s="314"/>
      <c r="O16" s="208">
        <f>PF!C73</f>
        <v>0</v>
      </c>
      <c r="P16" s="208">
        <f>PF!C71</f>
        <v>0</v>
      </c>
      <c r="Q16" s="208">
        <f>PF!C75</f>
        <v>0</v>
      </c>
      <c r="R16" s="208"/>
      <c r="S16" s="210">
        <f t="shared" ref="S16:S32" si="1">Q16-R16</f>
        <v>0</v>
      </c>
      <c r="T16" s="208"/>
    </row>
    <row r="17" spans="1:20" x14ac:dyDescent="0.25">
      <c r="A17" s="322"/>
      <c r="B17" s="326"/>
      <c r="C17" s="122" t="s">
        <v>185</v>
      </c>
      <c r="D17" s="25" t="str">
        <f>PF!$L$9</f>
        <v>-</v>
      </c>
      <c r="E17" s="122" t="str">
        <f>PF!L7</f>
        <v>Empaque</v>
      </c>
      <c r="F17" s="122" t="str">
        <f>PF!L8</f>
        <v>-</v>
      </c>
      <c r="G17" s="200"/>
      <c r="H17" s="51" t="e">
        <f t="shared" si="0"/>
        <v>#VALUE!</v>
      </c>
      <c r="I17" s="25"/>
      <c r="J17" s="239"/>
      <c r="K17" s="221"/>
      <c r="L17" s="308"/>
      <c r="M17" s="311"/>
      <c r="N17" s="315"/>
      <c r="O17" s="208">
        <f>PF!C76</f>
        <v>0</v>
      </c>
      <c r="P17" s="208">
        <f>PF!C74</f>
        <v>0</v>
      </c>
      <c r="Q17" s="208">
        <f>PF!C75</f>
        <v>0</v>
      </c>
      <c r="R17" s="208"/>
      <c r="S17" s="210">
        <f t="shared" si="1"/>
        <v>0</v>
      </c>
      <c r="T17" s="208"/>
    </row>
    <row r="18" spans="1:20" x14ac:dyDescent="0.25">
      <c r="A18" s="322"/>
      <c r="B18" s="326"/>
      <c r="C18" s="102" t="s">
        <v>186</v>
      </c>
      <c r="D18" s="25" t="str">
        <f>PF!$N$9</f>
        <v>-</v>
      </c>
      <c r="E18" s="122" t="str">
        <f>PF!N7</f>
        <v>Empaque</v>
      </c>
      <c r="F18" s="122" t="str">
        <f>PF!N8</f>
        <v>-</v>
      </c>
      <c r="G18" s="200"/>
      <c r="H18" s="51" t="e">
        <f t="shared" si="0"/>
        <v>#VALUE!</v>
      </c>
      <c r="I18" s="25"/>
      <c r="J18" s="239"/>
      <c r="K18" s="221"/>
      <c r="L18" s="308"/>
      <c r="M18" s="311"/>
      <c r="N18" s="313" t="s">
        <v>349</v>
      </c>
      <c r="O18" s="208">
        <f>PF!E70</f>
        <v>0</v>
      </c>
      <c r="P18" s="208">
        <f>PF!E68</f>
        <v>0</v>
      </c>
      <c r="Q18" s="208">
        <f>PF!E69</f>
        <v>0</v>
      </c>
      <c r="R18" s="208"/>
      <c r="S18" s="210">
        <f t="shared" si="1"/>
        <v>0</v>
      </c>
      <c r="T18" s="208"/>
    </row>
    <row r="19" spans="1:20" x14ac:dyDescent="0.25">
      <c r="A19" s="322"/>
      <c r="B19" s="326"/>
      <c r="C19" s="117" t="s">
        <v>187</v>
      </c>
      <c r="D19" s="151" t="str">
        <f>PF!$L$13</f>
        <v>1K05240109373</v>
      </c>
      <c r="E19" s="117" t="str">
        <f>PF!L11</f>
        <v>C.M.P</v>
      </c>
      <c r="F19" s="117">
        <f>PF!L12</f>
        <v>16</v>
      </c>
      <c r="G19" s="199"/>
      <c r="H19" s="53">
        <f t="shared" si="0"/>
        <v>0</v>
      </c>
      <c r="I19" s="151"/>
      <c r="J19" s="234"/>
      <c r="K19" s="221"/>
      <c r="L19" s="308"/>
      <c r="M19" s="311"/>
      <c r="N19" s="314"/>
      <c r="O19" s="208">
        <f>PF!G73</f>
        <v>0</v>
      </c>
      <c r="P19" s="208">
        <f>PF!E71</f>
        <v>0</v>
      </c>
      <c r="Q19" s="208">
        <f>PF!E72</f>
        <v>0</v>
      </c>
      <c r="R19" s="208"/>
      <c r="S19" s="210">
        <f t="shared" si="1"/>
        <v>0</v>
      </c>
      <c r="T19" s="208"/>
    </row>
    <row r="20" spans="1:20" x14ac:dyDescent="0.25">
      <c r="A20" s="322"/>
      <c r="B20" s="326"/>
      <c r="C20" s="117" t="s">
        <v>188</v>
      </c>
      <c r="D20" s="151" t="str">
        <f>PF!$N$13</f>
        <v>1K05240109373</v>
      </c>
      <c r="E20" s="117" t="str">
        <f>PF!N11</f>
        <v>C.M.P</v>
      </c>
      <c r="F20" s="117">
        <f>PF!N12</f>
        <v>52</v>
      </c>
      <c r="G20" s="199"/>
      <c r="H20" s="53">
        <f t="shared" si="0"/>
        <v>0</v>
      </c>
      <c r="I20" s="151"/>
      <c r="J20" s="234"/>
      <c r="K20" s="221"/>
      <c r="L20" s="308"/>
      <c r="M20" s="312"/>
      <c r="N20" s="315"/>
      <c r="O20" s="208">
        <f>PF!E76</f>
        <v>0</v>
      </c>
      <c r="P20" s="208">
        <f>PF!E74</f>
        <v>0</v>
      </c>
      <c r="Q20" s="208">
        <f>PF!E75</f>
        <v>0</v>
      </c>
      <c r="R20" s="208"/>
      <c r="S20" s="210">
        <f t="shared" si="1"/>
        <v>0</v>
      </c>
      <c r="T20" s="208"/>
    </row>
    <row r="21" spans="1:20" x14ac:dyDescent="0.25">
      <c r="A21" s="322"/>
      <c r="B21" s="326"/>
      <c r="C21" s="118" t="s">
        <v>189</v>
      </c>
      <c r="D21" s="30" t="str">
        <f>PF!$L$17</f>
        <v>150525</v>
      </c>
      <c r="E21" s="118" t="str">
        <f>PF!L15</f>
        <v>Mo.Po</v>
      </c>
      <c r="F21" s="118">
        <f>PF!L16</f>
        <v>27</v>
      </c>
      <c r="G21" s="205"/>
      <c r="H21" s="48">
        <f t="shared" si="0"/>
        <v>0</v>
      </c>
      <c r="I21" s="30"/>
      <c r="J21" s="236"/>
      <c r="K21" s="221"/>
      <c r="L21" s="308"/>
      <c r="M21" s="308" t="s">
        <v>28</v>
      </c>
      <c r="N21" s="313" t="s">
        <v>350</v>
      </c>
      <c r="O21" s="208">
        <f>PF!G70</f>
        <v>0</v>
      </c>
      <c r="P21" s="208">
        <f>PF!G68</f>
        <v>0</v>
      </c>
      <c r="Q21" s="208">
        <f>PF!G69</f>
        <v>0</v>
      </c>
      <c r="R21" s="208"/>
      <c r="S21" s="210">
        <f t="shared" si="1"/>
        <v>0</v>
      </c>
      <c r="T21" s="208"/>
    </row>
    <row r="22" spans="1:20" x14ac:dyDescent="0.25">
      <c r="A22" s="322"/>
      <c r="B22" s="326"/>
      <c r="C22" s="118" t="s">
        <v>190</v>
      </c>
      <c r="D22" s="30" t="str">
        <f>PF!$N$17</f>
        <v>151124</v>
      </c>
      <c r="E22" s="118" t="str">
        <f>PF!N15</f>
        <v>C.P.F</v>
      </c>
      <c r="F22" s="118">
        <f>PF!N16</f>
        <v>71</v>
      </c>
      <c r="G22" s="205"/>
      <c r="H22" s="48">
        <f t="shared" si="0"/>
        <v>0</v>
      </c>
      <c r="I22" s="30"/>
      <c r="J22" s="236"/>
      <c r="K22" s="221"/>
      <c r="L22" s="308"/>
      <c r="M22" s="308"/>
      <c r="N22" s="314"/>
      <c r="O22" s="208">
        <f>PF!G73</f>
        <v>0</v>
      </c>
      <c r="P22" s="208">
        <f>PF!G71</f>
        <v>0</v>
      </c>
      <c r="Q22" s="208">
        <f>PF!G72</f>
        <v>0</v>
      </c>
      <c r="R22" s="208"/>
      <c r="S22" s="210">
        <f t="shared" si="1"/>
        <v>0</v>
      </c>
      <c r="T22" s="208"/>
    </row>
    <row r="23" spans="1:20" x14ac:dyDescent="0.25">
      <c r="A23" s="322"/>
      <c r="B23" s="299" t="s">
        <v>4</v>
      </c>
      <c r="C23" s="120" t="s">
        <v>71</v>
      </c>
      <c r="D23" s="150" t="s">
        <v>361</v>
      </c>
      <c r="E23" s="120" t="str">
        <f>PF!P3</f>
        <v>Consome</v>
      </c>
      <c r="F23" s="120">
        <f>PF!P4</f>
        <v>100</v>
      </c>
      <c r="G23" s="202"/>
      <c r="H23" s="50">
        <f t="shared" si="0"/>
        <v>0</v>
      </c>
      <c r="I23" s="150"/>
      <c r="J23" s="237"/>
      <c r="K23" s="221"/>
      <c r="L23" s="308"/>
      <c r="M23" s="308"/>
      <c r="N23" s="315"/>
      <c r="O23" s="208">
        <f>PF!G76</f>
        <v>0</v>
      </c>
      <c r="P23" s="208">
        <f>PF!G74</f>
        <v>0</v>
      </c>
      <c r="Q23" s="208">
        <f>PF!G75</f>
        <v>0</v>
      </c>
      <c r="R23" s="208"/>
      <c r="S23" s="210">
        <f t="shared" si="1"/>
        <v>0</v>
      </c>
      <c r="T23" s="208"/>
    </row>
    <row r="24" spans="1:20" x14ac:dyDescent="0.25">
      <c r="A24" s="322"/>
      <c r="B24" s="299"/>
      <c r="C24" s="121" t="s">
        <v>40</v>
      </c>
      <c r="D24" s="226" t="str">
        <f>PF!$P$9</f>
        <v>-</v>
      </c>
      <c r="E24" s="121" t="str">
        <f>PF!P7</f>
        <v>Empaque</v>
      </c>
      <c r="F24" s="121" t="str">
        <f>PF!P8</f>
        <v>-</v>
      </c>
      <c r="G24" s="201"/>
      <c r="H24" s="54" t="e">
        <f t="shared" si="0"/>
        <v>#VALUE!</v>
      </c>
      <c r="I24" s="226"/>
      <c r="J24" s="235"/>
      <c r="K24" s="221"/>
      <c r="L24" s="308"/>
      <c r="M24" s="308"/>
      <c r="N24" s="313" t="s">
        <v>373</v>
      </c>
      <c r="O24" s="208">
        <f>PF!I70</f>
        <v>0</v>
      </c>
      <c r="P24" s="208">
        <f>PF!I68</f>
        <v>0</v>
      </c>
      <c r="Q24" s="208">
        <f>PF!I69</f>
        <v>0</v>
      </c>
      <c r="R24" s="208"/>
      <c r="S24" s="210">
        <f t="shared" si="1"/>
        <v>0</v>
      </c>
      <c r="T24" s="208"/>
    </row>
    <row r="25" spans="1:20" x14ac:dyDescent="0.25">
      <c r="A25" s="322"/>
      <c r="B25" s="299"/>
      <c r="C25" s="118" t="s">
        <v>41</v>
      </c>
      <c r="D25" s="30" t="str">
        <f>PF!$P$13</f>
        <v>1K05240109373</v>
      </c>
      <c r="E25" s="118" t="str">
        <f>PF!P11</f>
        <v>C.M.P</v>
      </c>
      <c r="F25" s="118">
        <f>PF!P12</f>
        <v>58</v>
      </c>
      <c r="G25" s="205"/>
      <c r="H25" s="48">
        <f t="shared" si="0"/>
        <v>0</v>
      </c>
      <c r="I25" s="30"/>
      <c r="J25" s="236"/>
      <c r="K25" s="221"/>
      <c r="L25" s="308"/>
      <c r="M25" s="308"/>
      <c r="N25" s="314"/>
      <c r="O25" s="208">
        <f>PF!I73</f>
        <v>0</v>
      </c>
      <c r="P25" s="208">
        <f>PF!I71</f>
        <v>0</v>
      </c>
      <c r="Q25" s="208">
        <f>PF!I72</f>
        <v>0</v>
      </c>
      <c r="R25" s="208"/>
      <c r="S25" s="210">
        <f t="shared" si="1"/>
        <v>0</v>
      </c>
      <c r="T25" s="208"/>
    </row>
    <row r="26" spans="1:20" x14ac:dyDescent="0.25">
      <c r="A26" s="322"/>
      <c r="B26" s="299"/>
      <c r="C26" s="120" t="s">
        <v>42</v>
      </c>
      <c r="D26" s="150" t="str">
        <f>PF!$P$17</f>
        <v>-</v>
      </c>
      <c r="E26" s="120" t="str">
        <f>PF!P15</f>
        <v>Rajas</v>
      </c>
      <c r="F26" s="120" t="str">
        <f>PF!P16</f>
        <v>-</v>
      </c>
      <c r="G26" s="202"/>
      <c r="H26" s="50" t="e">
        <f t="shared" si="0"/>
        <v>#VALUE!</v>
      </c>
      <c r="I26" s="150"/>
      <c r="J26" s="237"/>
      <c r="K26" s="221"/>
      <c r="L26" s="308"/>
      <c r="M26" s="308"/>
      <c r="N26" s="315"/>
      <c r="O26" s="208">
        <f>PF!I76</f>
        <v>0</v>
      </c>
      <c r="P26" s="208">
        <f>PF!I74</f>
        <v>0</v>
      </c>
      <c r="Q26" s="208">
        <f>PF!I75</f>
        <v>0</v>
      </c>
      <c r="R26" s="208"/>
      <c r="S26" s="210">
        <f t="shared" si="1"/>
        <v>0</v>
      </c>
      <c r="T26" s="208"/>
    </row>
    <row r="27" spans="1:20" x14ac:dyDescent="0.25">
      <c r="A27" s="323">
        <v>2</v>
      </c>
      <c r="B27" s="333" t="s">
        <v>5</v>
      </c>
      <c r="C27" s="118" t="s">
        <v>193</v>
      </c>
      <c r="D27" s="30" t="s">
        <v>362</v>
      </c>
      <c r="E27" s="118" t="str">
        <f>PF!D23</f>
        <v>Mo.Po</v>
      </c>
      <c r="F27" s="118">
        <f>PF!D24</f>
        <v>27</v>
      </c>
      <c r="G27" s="205"/>
      <c r="H27" s="48">
        <f t="shared" si="0"/>
        <v>0</v>
      </c>
      <c r="I27" s="30"/>
      <c r="J27" s="236"/>
      <c r="K27" s="221"/>
      <c r="L27" s="308"/>
      <c r="M27" s="308" t="s">
        <v>29</v>
      </c>
      <c r="N27" s="313" t="s">
        <v>352</v>
      </c>
      <c r="O27" s="208">
        <f>PF!K70</f>
        <v>0</v>
      </c>
      <c r="P27" s="208">
        <f>PF!K68</f>
        <v>0</v>
      </c>
      <c r="Q27" s="208">
        <f>PF!K69</f>
        <v>0</v>
      </c>
      <c r="R27" s="208"/>
      <c r="S27" s="210">
        <f t="shared" si="1"/>
        <v>0</v>
      </c>
      <c r="T27" s="208"/>
    </row>
    <row r="28" spans="1:20" x14ac:dyDescent="0.25">
      <c r="A28" s="323"/>
      <c r="B28" s="334"/>
      <c r="C28" s="117" t="s">
        <v>72</v>
      </c>
      <c r="D28" s="151" t="s">
        <v>363</v>
      </c>
      <c r="E28" s="117" t="str">
        <f>PF!F23</f>
        <v>Mo.Po</v>
      </c>
      <c r="F28" s="117">
        <f>PF!F24</f>
        <v>86</v>
      </c>
      <c r="G28" s="199"/>
      <c r="H28" s="53">
        <f t="shared" si="0"/>
        <v>0</v>
      </c>
      <c r="I28" s="151"/>
      <c r="J28" s="234"/>
      <c r="K28" s="221"/>
      <c r="L28" s="308"/>
      <c r="M28" s="308"/>
      <c r="N28" s="314"/>
      <c r="O28" s="208">
        <f>PF!K73</f>
        <v>0</v>
      </c>
      <c r="P28" s="208">
        <f>PF!K71</f>
        <v>0</v>
      </c>
      <c r="Q28" s="208">
        <f>PF!K72</f>
        <v>0</v>
      </c>
      <c r="R28" s="208"/>
      <c r="S28" s="210">
        <f t="shared" si="1"/>
        <v>0</v>
      </c>
      <c r="T28" s="208"/>
    </row>
    <row r="29" spans="1:20" x14ac:dyDescent="0.25">
      <c r="A29" s="323"/>
      <c r="B29" s="334"/>
      <c r="C29" s="27" t="s">
        <v>43</v>
      </c>
      <c r="D29" s="227" t="str">
        <f>PF!$F$29</f>
        <v>010625</v>
      </c>
      <c r="E29" s="27" t="str">
        <f>PF!F27</f>
        <v>Consome</v>
      </c>
      <c r="F29" s="27">
        <f>PF!F28</f>
        <v>100</v>
      </c>
      <c r="G29" s="206"/>
      <c r="H29" s="52">
        <f t="shared" si="0"/>
        <v>0</v>
      </c>
      <c r="I29" s="227"/>
      <c r="J29" s="241"/>
      <c r="K29" s="221"/>
      <c r="L29" s="308"/>
      <c r="M29" s="308"/>
      <c r="N29" s="315"/>
      <c r="O29" s="208">
        <f>PF!K76</f>
        <v>0</v>
      </c>
      <c r="P29" s="208">
        <f>PF!K74</f>
        <v>0</v>
      </c>
      <c r="Q29" s="208">
        <f>PF!K75</f>
        <v>0</v>
      </c>
      <c r="R29" s="208"/>
      <c r="S29" s="210">
        <f t="shared" si="1"/>
        <v>0</v>
      </c>
      <c r="T29" s="208"/>
    </row>
    <row r="30" spans="1:20" x14ac:dyDescent="0.25">
      <c r="A30" s="323"/>
      <c r="B30" s="334"/>
      <c r="C30" s="122" t="s">
        <v>44</v>
      </c>
      <c r="D30" s="25" t="str">
        <f>PF!$F$33</f>
        <v>150525</v>
      </c>
      <c r="E30" s="122" t="str">
        <f>PF!F31</f>
        <v>Consome</v>
      </c>
      <c r="F30" s="122">
        <f>PF!F32</f>
        <v>100</v>
      </c>
      <c r="G30" s="200"/>
      <c r="H30" s="51">
        <f t="shared" si="0"/>
        <v>0</v>
      </c>
      <c r="I30" s="25"/>
      <c r="J30" s="239"/>
      <c r="K30" s="221"/>
      <c r="L30" s="308"/>
      <c r="M30" s="308"/>
      <c r="N30" s="313" t="s">
        <v>353</v>
      </c>
      <c r="O30" s="208">
        <f>PF!M70</f>
        <v>0</v>
      </c>
      <c r="P30" s="208">
        <f>PF!M68</f>
        <v>0</v>
      </c>
      <c r="Q30" s="208">
        <f>PF!M69</f>
        <v>0</v>
      </c>
      <c r="R30" s="208"/>
      <c r="S30" s="210">
        <f t="shared" si="1"/>
        <v>0</v>
      </c>
      <c r="T30" s="208"/>
    </row>
    <row r="31" spans="1:20" x14ac:dyDescent="0.25">
      <c r="A31" s="323"/>
      <c r="B31" s="334"/>
      <c r="C31" s="120" t="s">
        <v>45</v>
      </c>
      <c r="D31" s="150" t="str">
        <f>PF!$F$37</f>
        <v>150325</v>
      </c>
      <c r="E31" s="120" t="str">
        <f>PF!F35</f>
        <v>Mo.Po</v>
      </c>
      <c r="F31" s="120">
        <f>PF!F36</f>
        <v>100</v>
      </c>
      <c r="G31" s="202"/>
      <c r="H31" s="50">
        <f t="shared" si="0"/>
        <v>0</v>
      </c>
      <c r="I31" s="150"/>
      <c r="J31" s="237"/>
      <c r="K31" s="221"/>
      <c r="L31" s="308"/>
      <c r="M31" s="308"/>
      <c r="N31" s="314"/>
      <c r="O31" s="208">
        <f>PF!M73</f>
        <v>0</v>
      </c>
      <c r="P31" s="208">
        <f>PF!M71</f>
        <v>0</v>
      </c>
      <c r="Q31" s="208">
        <f>PF!M72</f>
        <v>0</v>
      </c>
      <c r="R31" s="208"/>
      <c r="S31" s="210">
        <f t="shared" si="1"/>
        <v>0</v>
      </c>
      <c r="T31" s="208"/>
    </row>
    <row r="32" spans="1:20" x14ac:dyDescent="0.25">
      <c r="A32" s="323"/>
      <c r="B32" s="334"/>
      <c r="C32" s="27" t="s">
        <v>46</v>
      </c>
      <c r="D32" s="227" t="str">
        <f>PF!$F$41</f>
        <v>010525</v>
      </c>
      <c r="E32" s="27" t="str">
        <f>PF!F39</f>
        <v>Mo.Po</v>
      </c>
      <c r="F32" s="27">
        <f>PF!F40</f>
        <v>48</v>
      </c>
      <c r="G32" s="206"/>
      <c r="H32" s="52">
        <f t="shared" si="0"/>
        <v>0</v>
      </c>
      <c r="I32" s="227"/>
      <c r="J32" s="241"/>
      <c r="K32" s="221"/>
      <c r="L32" s="308"/>
      <c r="M32" s="308"/>
      <c r="N32" s="315"/>
      <c r="O32" s="208">
        <f>PF!M76</f>
        <v>0</v>
      </c>
      <c r="P32" s="208">
        <f>PF!M74</f>
        <v>0</v>
      </c>
      <c r="Q32" s="208">
        <f>PF!M75</f>
        <v>0</v>
      </c>
      <c r="R32" s="208"/>
      <c r="S32" s="210">
        <f t="shared" si="1"/>
        <v>0</v>
      </c>
      <c r="T32" s="208"/>
    </row>
    <row r="33" spans="1:20" ht="30" x14ac:dyDescent="0.25">
      <c r="A33" s="323"/>
      <c r="B33" s="334"/>
      <c r="C33" s="122" t="s">
        <v>48</v>
      </c>
      <c r="D33" s="152" t="str">
        <f>PF!$F$45</f>
        <v>01.05.25
15.04.25</v>
      </c>
      <c r="E33" s="122" t="str">
        <f>PF!F43</f>
        <v>Mo.Po</v>
      </c>
      <c r="F33" s="122">
        <f>PF!F44</f>
        <v>100</v>
      </c>
      <c r="G33" s="200"/>
      <c r="H33" s="51">
        <f t="shared" si="0"/>
        <v>0</v>
      </c>
      <c r="I33" s="152"/>
      <c r="J33" s="239"/>
      <c r="K33" s="221"/>
    </row>
    <row r="34" spans="1:20" ht="30" x14ac:dyDescent="0.25">
      <c r="A34" s="323"/>
      <c r="B34" s="335"/>
      <c r="C34" s="120" t="s">
        <v>194</v>
      </c>
      <c r="D34" s="150" t="s">
        <v>364</v>
      </c>
      <c r="E34" s="120" t="str">
        <f>PF!D43</f>
        <v>Mo.Po</v>
      </c>
      <c r="F34" s="120">
        <f>PF!D44</f>
        <v>113</v>
      </c>
      <c r="G34" s="202"/>
      <c r="H34" s="50">
        <f t="shared" ref="H34:H60" si="2">F34*G34</f>
        <v>0</v>
      </c>
      <c r="I34" s="150"/>
      <c r="J34" s="237"/>
      <c r="K34" s="221"/>
      <c r="L34" s="308" t="s">
        <v>354</v>
      </c>
      <c r="M34" s="203" t="s">
        <v>117</v>
      </c>
      <c r="N34" s="203" t="s">
        <v>14</v>
      </c>
      <c r="O34" s="203" t="s">
        <v>13</v>
      </c>
      <c r="P34" s="203" t="s">
        <v>379</v>
      </c>
      <c r="Q34" s="252" t="s">
        <v>375</v>
      </c>
      <c r="R34" s="203" t="s">
        <v>344</v>
      </c>
      <c r="S34" s="290" t="s">
        <v>121</v>
      </c>
      <c r="T34" s="290"/>
    </row>
    <row r="35" spans="1:20" x14ac:dyDescent="0.25">
      <c r="A35" s="323"/>
      <c r="B35" s="330" t="s">
        <v>6</v>
      </c>
      <c r="C35" s="122" t="s">
        <v>73</v>
      </c>
      <c r="D35" s="25" t="s">
        <v>365</v>
      </c>
      <c r="E35" s="24" t="str">
        <f>PF!H23</f>
        <v>Mo.Aj</v>
      </c>
      <c r="F35" s="122">
        <f>PF!H24</f>
        <v>118</v>
      </c>
      <c r="G35" s="200"/>
      <c r="H35" s="51">
        <f t="shared" si="2"/>
        <v>0</v>
      </c>
      <c r="I35" s="25"/>
      <c r="J35" s="239"/>
      <c r="K35" s="221"/>
      <c r="L35" s="308"/>
      <c r="M35" s="308" t="s">
        <v>356</v>
      </c>
      <c r="N35" s="203">
        <f>PF!E83</f>
        <v>0</v>
      </c>
      <c r="O35" s="203">
        <f>PF!E81</f>
        <v>0</v>
      </c>
      <c r="P35" s="203">
        <f>PF!E82</f>
        <v>0</v>
      </c>
      <c r="Q35" s="203"/>
      <c r="R35" s="203">
        <f>P35-Q35</f>
        <v>0</v>
      </c>
      <c r="S35" s="290"/>
      <c r="T35" s="290"/>
    </row>
    <row r="36" spans="1:20" x14ac:dyDescent="0.25">
      <c r="A36" s="323"/>
      <c r="B36" s="331"/>
      <c r="C36" s="12" t="s">
        <v>47</v>
      </c>
      <c r="D36" s="30" t="str">
        <f>PF!$H$29</f>
        <v>-</v>
      </c>
      <c r="E36" s="13" t="str">
        <f>PF!H27</f>
        <v>Consome</v>
      </c>
      <c r="F36" s="12">
        <f>PF!H28</f>
        <v>100</v>
      </c>
      <c r="G36" s="205"/>
      <c r="H36" s="48">
        <f t="shared" si="2"/>
        <v>0</v>
      </c>
      <c r="I36" s="30"/>
      <c r="J36" s="236"/>
      <c r="K36" s="221"/>
      <c r="L36" s="308"/>
      <c r="M36" s="308"/>
      <c r="N36" s="203">
        <f>PF!E86</f>
        <v>0</v>
      </c>
      <c r="O36" s="203">
        <f>PF!E84</f>
        <v>0</v>
      </c>
      <c r="P36" s="203">
        <f>PF!E85</f>
        <v>0</v>
      </c>
      <c r="Q36" s="203"/>
      <c r="R36" s="245">
        <f t="shared" ref="R36:R40" si="3">P36-Q36</f>
        <v>0</v>
      </c>
      <c r="S36" s="290"/>
      <c r="T36" s="290"/>
    </row>
    <row r="37" spans="1:20" x14ac:dyDescent="0.25">
      <c r="A37" s="323"/>
      <c r="B37" s="331"/>
      <c r="C37" s="120" t="s">
        <v>50</v>
      </c>
      <c r="D37" s="150" t="str">
        <f>PF!$H$33</f>
        <v>010625</v>
      </c>
      <c r="E37" s="21" t="str">
        <f>PF!H31</f>
        <v>Consome</v>
      </c>
      <c r="F37" s="120">
        <f>PF!H32</f>
        <v>100</v>
      </c>
      <c r="G37" s="202"/>
      <c r="H37" s="50">
        <f t="shared" si="2"/>
        <v>0</v>
      </c>
      <c r="I37" s="150"/>
      <c r="J37" s="237"/>
      <c r="K37" s="221"/>
      <c r="L37" s="308"/>
      <c r="M37" s="308" t="s">
        <v>355</v>
      </c>
      <c r="N37" s="203">
        <f>PF!G83</f>
        <v>0</v>
      </c>
      <c r="O37" s="203">
        <f>PF!G81</f>
        <v>0</v>
      </c>
      <c r="P37" s="203">
        <f>PF!G82</f>
        <v>0</v>
      </c>
      <c r="Q37" s="203"/>
      <c r="R37" s="245">
        <f t="shared" si="3"/>
        <v>0</v>
      </c>
      <c r="S37" s="290"/>
      <c r="T37" s="290"/>
    </row>
    <row r="38" spans="1:20" x14ac:dyDescent="0.25">
      <c r="A38" s="323"/>
      <c r="B38" s="331"/>
      <c r="C38" s="125" t="s">
        <v>51</v>
      </c>
      <c r="D38" s="149">
        <f>PF!D37</f>
        <v>0</v>
      </c>
      <c r="E38" s="34" t="str">
        <f>PF!H35</f>
        <v>Mo.Al</v>
      </c>
      <c r="F38" s="125">
        <f>PF!H36</f>
        <v>107</v>
      </c>
      <c r="G38" s="204"/>
      <c r="H38" s="148">
        <f t="shared" si="2"/>
        <v>0</v>
      </c>
      <c r="I38" s="149"/>
      <c r="J38" s="240"/>
      <c r="K38" s="221"/>
      <c r="L38" s="308"/>
      <c r="M38" s="308"/>
      <c r="N38" s="203">
        <f>PF!G86</f>
        <v>0</v>
      </c>
      <c r="O38" s="203">
        <f>PF!G84</f>
        <v>0</v>
      </c>
      <c r="P38" s="203">
        <f>PF!G85</f>
        <v>0</v>
      </c>
      <c r="Q38" s="203"/>
      <c r="R38" s="245">
        <f t="shared" si="3"/>
        <v>0</v>
      </c>
      <c r="S38" s="290"/>
      <c r="T38" s="290"/>
    </row>
    <row r="39" spans="1:20" x14ac:dyDescent="0.25">
      <c r="A39" s="323"/>
      <c r="B39" s="331"/>
      <c r="C39" s="12" t="s">
        <v>52</v>
      </c>
      <c r="D39" s="30" t="str">
        <f>PF!$H$41</f>
        <v>010525</v>
      </c>
      <c r="E39" s="13" t="str">
        <f>PF!H39</f>
        <v>Mo.Al</v>
      </c>
      <c r="F39" s="12">
        <f>PF!H40</f>
        <v>90</v>
      </c>
      <c r="G39" s="205"/>
      <c r="H39" s="48">
        <f t="shared" si="2"/>
        <v>0</v>
      </c>
      <c r="I39" s="30"/>
      <c r="J39" s="236"/>
      <c r="K39" s="221"/>
      <c r="L39" s="308"/>
      <c r="M39" s="308" t="s">
        <v>357</v>
      </c>
      <c r="N39" s="203">
        <f>PF!I83</f>
        <v>0</v>
      </c>
      <c r="O39" s="203">
        <f>PF!I81</f>
        <v>0</v>
      </c>
      <c r="P39" s="203">
        <f>PF!I82</f>
        <v>0</v>
      </c>
      <c r="Q39" s="203"/>
      <c r="R39" s="245">
        <f t="shared" si="3"/>
        <v>0</v>
      </c>
      <c r="S39" s="290"/>
      <c r="T39" s="290"/>
    </row>
    <row r="40" spans="1:20" x14ac:dyDescent="0.25">
      <c r="A40" s="323"/>
      <c r="B40" s="331"/>
      <c r="C40" s="120" t="s">
        <v>53</v>
      </c>
      <c r="D40" s="150" t="str">
        <f>PF!$H$45</f>
        <v>150525</v>
      </c>
      <c r="E40" s="21" t="str">
        <f>PF!H43</f>
        <v>Mo.Al</v>
      </c>
      <c r="F40" s="120">
        <f>PF!H44</f>
        <v>81</v>
      </c>
      <c r="G40" s="202"/>
      <c r="H40" s="50">
        <f t="shared" si="2"/>
        <v>0</v>
      </c>
      <c r="I40" s="150"/>
      <c r="J40" s="237"/>
      <c r="K40" s="221"/>
      <c r="L40" s="308"/>
      <c r="M40" s="308"/>
      <c r="N40" s="203">
        <f>PF!I86</f>
        <v>0</v>
      </c>
      <c r="O40" s="203">
        <f>PF!I84</f>
        <v>0</v>
      </c>
      <c r="P40" s="203">
        <f>PF!I85</f>
        <v>0</v>
      </c>
      <c r="Q40" s="203"/>
      <c r="R40" s="245">
        <f t="shared" si="3"/>
        <v>0</v>
      </c>
      <c r="S40" s="290"/>
      <c r="T40" s="290"/>
    </row>
    <row r="41" spans="1:20" x14ac:dyDescent="0.25">
      <c r="A41" s="323"/>
      <c r="B41" s="332"/>
      <c r="C41" s="12" t="s">
        <v>54</v>
      </c>
      <c r="D41" s="29">
        <f>PF!D49</f>
        <v>0</v>
      </c>
      <c r="E41" s="13" t="str">
        <f>PF!H47</f>
        <v>Mo.Al</v>
      </c>
      <c r="F41" s="12">
        <v>100</v>
      </c>
      <c r="G41" s="205"/>
      <c r="H41" s="48">
        <f t="shared" si="2"/>
        <v>0</v>
      </c>
      <c r="I41" s="29"/>
      <c r="J41" s="236"/>
      <c r="K41" s="221"/>
    </row>
    <row r="42" spans="1:20" x14ac:dyDescent="0.25">
      <c r="A42" s="323"/>
      <c r="B42" s="318" t="s">
        <v>7</v>
      </c>
      <c r="C42" s="125" t="s">
        <v>74</v>
      </c>
      <c r="D42" s="225" t="str">
        <f>PF!$J$25</f>
        <v>-</v>
      </c>
      <c r="E42" s="34" t="str">
        <f>PF!J23</f>
        <v>-</v>
      </c>
      <c r="F42" s="125" t="str">
        <f>PF!J24</f>
        <v>-</v>
      </c>
      <c r="G42" s="204"/>
      <c r="H42" s="148" t="e">
        <f t="shared" si="2"/>
        <v>#VALUE!</v>
      </c>
      <c r="I42" s="225"/>
      <c r="J42" s="240"/>
      <c r="K42" s="221"/>
    </row>
    <row r="43" spans="1:20" x14ac:dyDescent="0.25">
      <c r="A43" s="323"/>
      <c r="B43" s="319"/>
      <c r="C43" s="31" t="s">
        <v>55</v>
      </c>
      <c r="D43" s="151" t="str">
        <f>PF!$J$29</f>
        <v>150525</v>
      </c>
      <c r="E43" s="32" t="str">
        <f>PF!J27</f>
        <v>Consome</v>
      </c>
      <c r="F43" s="31">
        <f>PF!J28</f>
        <v>100</v>
      </c>
      <c r="G43" s="199"/>
      <c r="H43" s="53">
        <f t="shared" si="2"/>
        <v>0</v>
      </c>
      <c r="I43" s="151"/>
      <c r="J43" s="234"/>
      <c r="K43" s="221"/>
    </row>
    <row r="44" spans="1:20" x14ac:dyDescent="0.25">
      <c r="A44" s="323"/>
      <c r="B44" s="319"/>
      <c r="C44" s="122" t="s">
        <v>56</v>
      </c>
      <c r="D44" s="25" t="str">
        <f>PF!$J$33</f>
        <v>010625</v>
      </c>
      <c r="E44" s="24" t="str">
        <f>PF!J31</f>
        <v>Consome</v>
      </c>
      <c r="F44" s="122">
        <f>PF!J32</f>
        <v>100</v>
      </c>
      <c r="G44" s="200"/>
      <c r="H44" s="51">
        <f t="shared" si="2"/>
        <v>0</v>
      </c>
      <c r="I44" s="25"/>
      <c r="J44" s="239"/>
      <c r="K44" s="221"/>
    </row>
    <row r="45" spans="1:20" x14ac:dyDescent="0.25">
      <c r="A45" s="323"/>
      <c r="B45" s="319"/>
      <c r="C45" s="118" t="s">
        <v>57</v>
      </c>
      <c r="D45" s="30" t="str">
        <f>PF!$J$37</f>
        <v>1K05240109373</v>
      </c>
      <c r="E45" s="13" t="str">
        <f>PF!J35</f>
        <v>C.M.P</v>
      </c>
      <c r="F45" s="118">
        <f>PF!J36</f>
        <v>60</v>
      </c>
      <c r="G45" s="205"/>
      <c r="H45" s="48">
        <f t="shared" si="2"/>
        <v>0</v>
      </c>
      <c r="I45" s="30"/>
      <c r="J45" s="236"/>
      <c r="K45" s="221"/>
    </row>
    <row r="46" spans="1:20" x14ac:dyDescent="0.25">
      <c r="A46" s="323"/>
      <c r="B46" s="319"/>
      <c r="C46" s="122" t="s">
        <v>58</v>
      </c>
      <c r="D46" s="25" t="str">
        <f>PF!$J$41</f>
        <v>1K05240109373</v>
      </c>
      <c r="E46" s="24" t="str">
        <f>PF!J39</f>
        <v>C.M.P</v>
      </c>
      <c r="F46" s="122">
        <f>PF!J40</f>
        <v>60</v>
      </c>
      <c r="G46" s="200"/>
      <c r="H46" s="51">
        <f t="shared" si="2"/>
        <v>0</v>
      </c>
      <c r="I46" s="25"/>
      <c r="J46" s="239"/>
      <c r="K46" s="221"/>
    </row>
    <row r="47" spans="1:20" x14ac:dyDescent="0.25">
      <c r="A47" s="323"/>
      <c r="B47" s="319"/>
      <c r="C47" s="125" t="s">
        <v>59</v>
      </c>
      <c r="D47" s="225" t="str">
        <f>PF!$J$45</f>
        <v>1K05240109373</v>
      </c>
      <c r="E47" s="34" t="str">
        <f>PF!J43</f>
        <v>C.M.P</v>
      </c>
      <c r="F47" s="125">
        <f>PF!J44</f>
        <v>60</v>
      </c>
      <c r="G47" s="204"/>
      <c r="H47" s="148">
        <f t="shared" si="2"/>
        <v>0</v>
      </c>
      <c r="I47" s="225"/>
      <c r="J47" s="240"/>
      <c r="K47" s="221"/>
    </row>
    <row r="48" spans="1:20" x14ac:dyDescent="0.25">
      <c r="A48" s="323"/>
      <c r="B48" s="320"/>
      <c r="C48" s="126" t="s">
        <v>60</v>
      </c>
      <c r="D48" s="227" t="str">
        <f>PF!$J$49</f>
        <v>1K05240109373</v>
      </c>
      <c r="E48" s="28" t="str">
        <f>PF!J47</f>
        <v>C.M.P</v>
      </c>
      <c r="F48" s="126">
        <f>PF!J48</f>
        <v>60</v>
      </c>
      <c r="G48" s="206"/>
      <c r="H48" s="52">
        <f t="shared" si="2"/>
        <v>0</v>
      </c>
      <c r="I48" s="227"/>
      <c r="J48" s="213"/>
      <c r="K48" s="221"/>
    </row>
    <row r="49" spans="1:11" x14ac:dyDescent="0.25">
      <c r="A49" s="323"/>
      <c r="B49" s="321" t="s">
        <v>8</v>
      </c>
      <c r="C49" s="120" t="s">
        <v>75</v>
      </c>
      <c r="D49" s="150" t="s">
        <v>366</v>
      </c>
      <c r="E49" s="120" t="str">
        <f>PF!L23</f>
        <v>Mo.Po</v>
      </c>
      <c r="F49" s="120">
        <f>PF!L24</f>
        <v>81</v>
      </c>
      <c r="G49" s="202"/>
      <c r="H49" s="50">
        <f t="shared" si="2"/>
        <v>0</v>
      </c>
      <c r="I49" s="150"/>
      <c r="J49" s="194"/>
      <c r="K49" s="221"/>
    </row>
    <row r="50" spans="1:11" x14ac:dyDescent="0.25">
      <c r="A50" s="323"/>
      <c r="B50" s="321"/>
      <c r="C50" s="17" t="s">
        <v>61</v>
      </c>
      <c r="D50" s="226" t="str">
        <f>PF!$L$29</f>
        <v>150225</v>
      </c>
      <c r="E50" s="17" t="str">
        <f>PF!L27</f>
        <v>Consome</v>
      </c>
      <c r="F50" s="17">
        <f>PF!L28</f>
        <v>100</v>
      </c>
      <c r="G50" s="201"/>
      <c r="H50" s="54">
        <f t="shared" si="2"/>
        <v>0</v>
      </c>
      <c r="I50" s="226"/>
      <c r="J50" s="235"/>
      <c r="K50" s="221"/>
    </row>
    <row r="51" spans="1:11" x14ac:dyDescent="0.25">
      <c r="A51" s="323"/>
      <c r="B51" s="321"/>
      <c r="C51" s="118" t="s">
        <v>62</v>
      </c>
      <c r="D51" s="30" t="str">
        <f>PF!$L$33</f>
        <v>150525</v>
      </c>
      <c r="E51" s="118" t="str">
        <f>PF!L31</f>
        <v>Consome</v>
      </c>
      <c r="F51" s="118">
        <f>PF!L32</f>
        <v>100</v>
      </c>
      <c r="G51" s="205"/>
      <c r="H51" s="48">
        <f t="shared" si="2"/>
        <v>0</v>
      </c>
      <c r="I51" s="30"/>
      <c r="J51" s="236"/>
      <c r="K51" s="221"/>
    </row>
    <row r="52" spans="1:11" x14ac:dyDescent="0.25">
      <c r="A52" s="323"/>
      <c r="B52" s="321"/>
      <c r="C52" s="128" t="s">
        <v>63</v>
      </c>
      <c r="D52" s="228" t="str">
        <f>PF!$L$37</f>
        <v>-</v>
      </c>
      <c r="E52" s="128" t="str">
        <f>PF!L35</f>
        <v>Mo.Al</v>
      </c>
      <c r="F52" s="153">
        <f>PF!L36</f>
        <v>78</v>
      </c>
      <c r="G52" s="153"/>
      <c r="H52" s="53">
        <f t="shared" si="2"/>
        <v>0</v>
      </c>
      <c r="I52" s="228"/>
      <c r="J52" s="242"/>
      <c r="K52" s="221"/>
    </row>
    <row r="53" spans="1:11" x14ac:dyDescent="0.25">
      <c r="A53" s="323"/>
      <c r="B53" s="299" t="s">
        <v>9</v>
      </c>
      <c r="C53" s="23" t="s">
        <v>195</v>
      </c>
      <c r="D53" s="25" t="s">
        <v>367</v>
      </c>
      <c r="E53" s="23" t="str">
        <f>PF!N23</f>
        <v>Mo.Aj</v>
      </c>
      <c r="F53" s="23">
        <f>PF!N24</f>
        <v>37</v>
      </c>
      <c r="G53" s="200"/>
      <c r="H53" s="51">
        <f t="shared" si="2"/>
        <v>0</v>
      </c>
      <c r="I53" s="25"/>
      <c r="J53" s="239"/>
      <c r="K53" s="221"/>
    </row>
    <row r="54" spans="1:11" x14ac:dyDescent="0.25">
      <c r="A54" s="323"/>
      <c r="B54" s="299"/>
      <c r="C54" s="45" t="s">
        <v>196</v>
      </c>
      <c r="D54" s="25" t="s">
        <v>368</v>
      </c>
      <c r="E54" s="23" t="str">
        <f>PF!P23</f>
        <v>Chipotle</v>
      </c>
      <c r="F54" s="23">
        <f>PF!P24</f>
        <v>117</v>
      </c>
      <c r="G54" s="200"/>
      <c r="H54" s="51">
        <f t="shared" si="2"/>
        <v>0</v>
      </c>
      <c r="I54" s="25"/>
      <c r="J54" s="243"/>
      <c r="K54" s="221"/>
    </row>
    <row r="55" spans="1:11" x14ac:dyDescent="0.25">
      <c r="A55" s="323"/>
      <c r="B55" s="299"/>
      <c r="C55" s="129" t="s">
        <v>197</v>
      </c>
      <c r="D55" s="151" t="str">
        <f>PF!$N$29</f>
        <v>150525</v>
      </c>
      <c r="E55" s="117" t="str">
        <f>PF!N27</f>
        <v>Consome</v>
      </c>
      <c r="F55" s="117">
        <f>PF!N28</f>
        <v>100</v>
      </c>
      <c r="G55" s="199"/>
      <c r="H55" s="53">
        <f t="shared" si="2"/>
        <v>0</v>
      </c>
      <c r="I55" s="151"/>
      <c r="J55" s="244"/>
      <c r="K55" s="221"/>
    </row>
    <row r="56" spans="1:11" x14ac:dyDescent="0.25">
      <c r="A56" s="323"/>
      <c r="B56" s="299"/>
      <c r="C56" s="154" t="s">
        <v>198</v>
      </c>
      <c r="D56" s="151" t="s">
        <v>369</v>
      </c>
      <c r="E56" s="117" t="str">
        <f>PF!P27</f>
        <v>Consome</v>
      </c>
      <c r="F56" s="117">
        <f>PF!P28</f>
        <v>100</v>
      </c>
      <c r="G56" s="199"/>
      <c r="H56" s="53">
        <f t="shared" si="2"/>
        <v>0</v>
      </c>
      <c r="I56" s="151"/>
      <c r="J56" s="244"/>
      <c r="K56" s="221"/>
    </row>
    <row r="57" spans="1:11" x14ac:dyDescent="0.25">
      <c r="A57" s="323"/>
      <c r="B57" s="299"/>
      <c r="C57" s="121" t="s">
        <v>199</v>
      </c>
      <c r="D57" s="226">
        <f>PF!$N$33</f>
        <v>0</v>
      </c>
      <c r="E57" s="121" t="str">
        <f>PF!N31</f>
        <v>Mo.Aj</v>
      </c>
      <c r="F57" s="121">
        <f>PF!N32</f>
        <v>100</v>
      </c>
      <c r="G57" s="201"/>
      <c r="H57" s="54">
        <f t="shared" si="2"/>
        <v>0</v>
      </c>
      <c r="I57" s="226"/>
      <c r="J57" s="235"/>
      <c r="K57" s="221"/>
    </row>
    <row r="58" spans="1:11" x14ac:dyDescent="0.25">
      <c r="A58" s="323"/>
      <c r="B58" s="299"/>
      <c r="C58" s="121" t="s">
        <v>200</v>
      </c>
      <c r="D58" s="229" t="s">
        <v>370</v>
      </c>
      <c r="E58" s="121" t="str">
        <f>PF!P31</f>
        <v>Mo.Po</v>
      </c>
      <c r="F58" s="121">
        <f>PF!P32</f>
        <v>100</v>
      </c>
      <c r="G58" s="201"/>
      <c r="H58" s="54">
        <f t="shared" si="2"/>
        <v>0</v>
      </c>
      <c r="I58" s="229"/>
      <c r="J58" s="216"/>
      <c r="K58" s="221"/>
    </row>
    <row r="59" spans="1:11" x14ac:dyDescent="0.25">
      <c r="A59" s="323"/>
      <c r="B59" s="299"/>
      <c r="C59" s="118" t="s">
        <v>201</v>
      </c>
      <c r="D59" s="230" t="s">
        <v>371</v>
      </c>
      <c r="E59" s="118" t="str">
        <f>PF!N35</f>
        <v>Mo.Al</v>
      </c>
      <c r="F59" s="118">
        <f>PF!N36</f>
        <v>95</v>
      </c>
      <c r="G59" s="205"/>
      <c r="H59" s="48">
        <f t="shared" si="2"/>
        <v>0</v>
      </c>
      <c r="I59" s="230"/>
      <c r="J59" s="217"/>
      <c r="K59" s="221"/>
    </row>
    <row r="60" spans="1:11" ht="30" x14ac:dyDescent="0.25">
      <c r="A60" s="324"/>
      <c r="B60" s="299"/>
      <c r="C60" s="118" t="s">
        <v>202</v>
      </c>
      <c r="D60" s="231" t="str">
        <f>PF!$P$37</f>
        <v>01.03.25
15.05.25</v>
      </c>
      <c r="E60" s="118" t="str">
        <f>PF!P35</f>
        <v>Chipotle</v>
      </c>
      <c r="F60" s="118">
        <f>PF!P36</f>
        <v>53</v>
      </c>
      <c r="G60" s="205"/>
      <c r="H60" s="48">
        <f t="shared" si="2"/>
        <v>0</v>
      </c>
      <c r="I60" s="231"/>
      <c r="J60" s="217"/>
      <c r="K60" s="221"/>
    </row>
    <row r="64" spans="1:11" x14ac:dyDescent="0.25">
      <c r="A64" s="248"/>
      <c r="B64" s="198"/>
      <c r="C64" s="198"/>
      <c r="D64" s="198"/>
      <c r="E64" s="198"/>
      <c r="F64" s="249"/>
      <c r="G64" s="249"/>
      <c r="H64" s="249"/>
      <c r="I64" s="249"/>
      <c r="J64" s="249"/>
    </row>
    <row r="65" spans="1:10" x14ac:dyDescent="0.25">
      <c r="A65" s="248"/>
      <c r="B65" s="247"/>
      <c r="C65" s="247"/>
      <c r="D65" s="247"/>
      <c r="E65" s="247"/>
      <c r="F65" s="249"/>
      <c r="G65" s="249"/>
      <c r="H65" s="249"/>
      <c r="I65" s="249"/>
      <c r="J65" s="249"/>
    </row>
    <row r="66" spans="1:10" x14ac:dyDescent="0.25">
      <c r="A66" s="248"/>
      <c r="B66" s="247"/>
      <c r="C66" s="247"/>
      <c r="D66" s="247"/>
      <c r="E66" s="247"/>
      <c r="F66" s="249"/>
      <c r="G66" s="249"/>
      <c r="H66" s="249"/>
      <c r="I66" s="249"/>
      <c r="J66" s="249"/>
    </row>
    <row r="67" spans="1:10" x14ac:dyDescent="0.25">
      <c r="A67" s="248"/>
      <c r="B67" s="247"/>
      <c r="C67" s="247"/>
      <c r="D67" s="247"/>
      <c r="E67" s="247"/>
      <c r="F67" s="249"/>
      <c r="G67" s="249"/>
      <c r="H67" s="249"/>
      <c r="I67" s="249"/>
      <c r="J67" s="249"/>
    </row>
    <row r="68" spans="1:10" x14ac:dyDescent="0.25">
      <c r="A68" s="248"/>
      <c r="B68" s="247"/>
      <c r="C68" s="247"/>
      <c r="D68" s="247"/>
      <c r="E68" s="247"/>
      <c r="F68" s="249"/>
      <c r="G68" s="249"/>
      <c r="H68" s="249"/>
      <c r="I68" s="249"/>
      <c r="J68" s="249"/>
    </row>
    <row r="69" spans="1:10" x14ac:dyDescent="0.25">
      <c r="A69" s="248"/>
      <c r="B69" s="247"/>
      <c r="C69" s="247"/>
      <c r="D69" s="247"/>
      <c r="E69" s="247"/>
      <c r="F69" s="249"/>
      <c r="G69" s="249"/>
      <c r="H69" s="249"/>
      <c r="I69" s="249"/>
      <c r="J69" s="249"/>
    </row>
    <row r="70" spans="1:10" x14ac:dyDescent="0.25">
      <c r="A70" s="248"/>
      <c r="B70" s="247"/>
      <c r="C70" s="247"/>
      <c r="D70" s="247"/>
      <c r="E70" s="247"/>
      <c r="F70" s="249"/>
      <c r="G70" s="249"/>
      <c r="H70" s="249"/>
      <c r="I70" s="249"/>
      <c r="J70" s="249"/>
    </row>
    <row r="71" spans="1:10" x14ac:dyDescent="0.25">
      <c r="A71" s="248"/>
      <c r="B71" s="247"/>
      <c r="C71" s="247"/>
      <c r="D71" s="247"/>
      <c r="E71" s="247"/>
      <c r="F71" s="249"/>
      <c r="G71" s="249"/>
      <c r="H71" s="249"/>
      <c r="I71" s="249"/>
      <c r="J71" s="249"/>
    </row>
    <row r="74" spans="1:10" x14ac:dyDescent="0.25">
      <c r="A74" s="250"/>
      <c r="B74" s="207"/>
      <c r="C74" s="207"/>
      <c r="D74" s="207"/>
      <c r="E74" s="207"/>
      <c r="F74" s="207"/>
      <c r="G74" s="207"/>
      <c r="H74" s="207"/>
      <c r="I74" s="207"/>
      <c r="J74" s="207"/>
    </row>
    <row r="75" spans="1:10" x14ac:dyDescent="0.25">
      <c r="A75" s="251"/>
      <c r="B75" s="251"/>
      <c r="C75" s="5"/>
      <c r="D75" s="35"/>
      <c r="E75" s="35"/>
      <c r="F75" s="35"/>
      <c r="G75" s="35"/>
      <c r="H75" s="35"/>
      <c r="I75" s="35"/>
      <c r="J75" s="35"/>
    </row>
    <row r="76" spans="1:10" x14ac:dyDescent="0.25">
      <c r="A76" s="251"/>
      <c r="B76" s="251"/>
      <c r="C76" s="5"/>
      <c r="D76" s="35"/>
      <c r="E76" s="35"/>
      <c r="F76" s="35"/>
      <c r="G76" s="35"/>
      <c r="H76" s="35"/>
      <c r="I76" s="35"/>
      <c r="J76" s="35"/>
    </row>
    <row r="77" spans="1:10" x14ac:dyDescent="0.25">
      <c r="A77" s="251"/>
      <c r="B77" s="251"/>
      <c r="C77" s="5"/>
      <c r="D77" s="35"/>
      <c r="E77" s="35"/>
      <c r="F77" s="35"/>
      <c r="G77" s="35"/>
      <c r="H77" s="35"/>
      <c r="I77" s="35"/>
      <c r="J77" s="35"/>
    </row>
    <row r="78" spans="1:10" x14ac:dyDescent="0.25">
      <c r="A78" s="251"/>
      <c r="B78" s="251"/>
      <c r="C78" s="5"/>
      <c r="D78" s="35"/>
      <c r="E78" s="35"/>
      <c r="F78" s="35"/>
      <c r="G78" s="35"/>
      <c r="H78" s="35"/>
      <c r="I78" s="35"/>
      <c r="J78" s="35"/>
    </row>
    <row r="79" spans="1:10" x14ac:dyDescent="0.25">
      <c r="A79" s="251"/>
      <c r="B79" s="251"/>
      <c r="C79" s="5"/>
      <c r="D79" s="35"/>
      <c r="E79" s="35"/>
      <c r="F79" s="35"/>
      <c r="G79" s="35"/>
      <c r="H79" s="35"/>
      <c r="I79" s="35"/>
      <c r="J79" s="35"/>
    </row>
    <row r="80" spans="1:10" x14ac:dyDescent="0.25">
      <c r="A80" s="251"/>
      <c r="B80" s="251"/>
      <c r="C80" s="5"/>
      <c r="D80" s="35"/>
      <c r="E80" s="35"/>
      <c r="F80" s="35"/>
      <c r="G80" s="35"/>
      <c r="H80" s="35"/>
      <c r="I80" s="35"/>
      <c r="J80" s="35"/>
    </row>
    <row r="81" spans="1:10" x14ac:dyDescent="0.25">
      <c r="A81" s="251"/>
      <c r="B81" s="251"/>
      <c r="C81" s="5"/>
      <c r="D81" s="35"/>
      <c r="E81" s="35"/>
      <c r="F81" s="35"/>
      <c r="G81" s="35"/>
      <c r="H81" s="35"/>
      <c r="I81" s="35"/>
      <c r="J81" s="35"/>
    </row>
    <row r="82" spans="1:10" x14ac:dyDescent="0.25">
      <c r="A82" s="251"/>
      <c r="B82" s="251"/>
      <c r="C82" s="5"/>
      <c r="D82" s="35"/>
      <c r="E82" s="35"/>
      <c r="F82" s="35"/>
      <c r="G82" s="35"/>
      <c r="H82" s="35"/>
      <c r="I82" s="35"/>
      <c r="J82" s="35"/>
    </row>
    <row r="83" spans="1:10" x14ac:dyDescent="0.25">
      <c r="A83" s="251"/>
      <c r="B83" s="251"/>
      <c r="C83" s="5"/>
      <c r="D83" s="35"/>
      <c r="E83" s="35"/>
      <c r="F83" s="35"/>
      <c r="G83" s="35"/>
      <c r="H83" s="35"/>
      <c r="I83" s="35"/>
      <c r="J83" s="35"/>
    </row>
    <row r="84" spans="1:10" x14ac:dyDescent="0.25">
      <c r="A84" s="251"/>
      <c r="B84" s="251"/>
      <c r="C84" s="5"/>
      <c r="D84" s="35"/>
      <c r="E84" s="35"/>
      <c r="F84" s="35"/>
      <c r="G84" s="35"/>
      <c r="H84" s="35"/>
      <c r="I84" s="35"/>
      <c r="J84" s="35"/>
    </row>
    <row r="85" spans="1:10" x14ac:dyDescent="0.25">
      <c r="A85" s="251"/>
      <c r="B85" s="251"/>
      <c r="C85" s="5"/>
      <c r="D85" s="35"/>
      <c r="E85" s="35"/>
      <c r="F85" s="35"/>
      <c r="G85" s="35"/>
      <c r="H85" s="35"/>
      <c r="I85" s="35"/>
      <c r="J85" s="35"/>
    </row>
    <row r="86" spans="1:10" x14ac:dyDescent="0.25">
      <c r="A86" s="251"/>
      <c r="B86" s="251"/>
      <c r="C86" s="5"/>
      <c r="D86" s="35"/>
      <c r="E86" s="35"/>
      <c r="F86" s="35"/>
      <c r="G86" s="35"/>
      <c r="H86" s="35"/>
      <c r="I86" s="35"/>
      <c r="J86" s="35"/>
    </row>
    <row r="87" spans="1:10" x14ac:dyDescent="0.25">
      <c r="A87" s="251"/>
      <c r="B87" s="251"/>
      <c r="C87" s="5"/>
      <c r="D87" s="35"/>
      <c r="E87" s="35"/>
      <c r="F87" s="35"/>
      <c r="G87" s="35"/>
      <c r="H87" s="35"/>
      <c r="I87" s="35"/>
      <c r="J87" s="35"/>
    </row>
    <row r="88" spans="1:10" x14ac:dyDescent="0.25">
      <c r="A88" s="251"/>
      <c r="B88" s="251"/>
      <c r="C88" s="5"/>
      <c r="D88" s="35"/>
      <c r="E88" s="35"/>
      <c r="F88" s="35"/>
      <c r="G88" s="35"/>
      <c r="H88" s="35"/>
      <c r="I88" s="35"/>
      <c r="J88" s="35"/>
    </row>
    <row r="89" spans="1:10" x14ac:dyDescent="0.25">
      <c r="A89" s="251"/>
      <c r="B89" s="251"/>
      <c r="C89" s="5"/>
      <c r="D89" s="35"/>
      <c r="E89" s="35"/>
      <c r="F89" s="35"/>
      <c r="G89" s="35"/>
      <c r="H89" s="35"/>
      <c r="I89" s="35"/>
      <c r="J89" s="35"/>
    </row>
    <row r="90" spans="1:10" x14ac:dyDescent="0.25">
      <c r="A90" s="251"/>
      <c r="B90" s="251"/>
      <c r="C90" s="5"/>
      <c r="D90" s="35"/>
      <c r="E90" s="35"/>
      <c r="F90" s="35"/>
      <c r="G90" s="35"/>
      <c r="H90" s="35"/>
      <c r="I90" s="35"/>
      <c r="J90" s="35"/>
    </row>
    <row r="91" spans="1:10" x14ac:dyDescent="0.25">
      <c r="A91" s="251"/>
      <c r="B91" s="251"/>
      <c r="C91" s="5"/>
      <c r="D91" s="35"/>
      <c r="E91" s="35"/>
      <c r="F91" s="35"/>
      <c r="G91" s="35"/>
      <c r="H91" s="35"/>
      <c r="I91" s="35"/>
      <c r="J91" s="35"/>
    </row>
    <row r="92" spans="1:10" x14ac:dyDescent="0.25">
      <c r="A92" s="251"/>
      <c r="B92" s="251"/>
      <c r="C92" s="5"/>
      <c r="D92" s="35"/>
      <c r="E92" s="35"/>
      <c r="F92" s="35"/>
      <c r="G92" s="35"/>
      <c r="H92" s="35"/>
      <c r="I92" s="35"/>
      <c r="J92" s="35"/>
    </row>
  </sheetData>
  <mergeCells count="41">
    <mergeCell ref="B42:B48"/>
    <mergeCell ref="B49:B52"/>
    <mergeCell ref="B53:B60"/>
    <mergeCell ref="A2:A26"/>
    <mergeCell ref="A27:A60"/>
    <mergeCell ref="B15:B22"/>
    <mergeCell ref="B7:B14"/>
    <mergeCell ref="B2:B6"/>
    <mergeCell ref="B23:B26"/>
    <mergeCell ref="B27:B34"/>
    <mergeCell ref="B35:B41"/>
    <mergeCell ref="Q7:S7"/>
    <mergeCell ref="Q8:S8"/>
    <mergeCell ref="Q9:S9"/>
    <mergeCell ref="Q4:S4"/>
    <mergeCell ref="Q5:S5"/>
    <mergeCell ref="Q10:S10"/>
    <mergeCell ref="Q11:S11"/>
    <mergeCell ref="M35:M36"/>
    <mergeCell ref="M37:M38"/>
    <mergeCell ref="L4:L11"/>
    <mergeCell ref="L14:L32"/>
    <mergeCell ref="M15:M20"/>
    <mergeCell ref="N15:N17"/>
    <mergeCell ref="N18:N20"/>
    <mergeCell ref="M21:M26"/>
    <mergeCell ref="N21:N23"/>
    <mergeCell ref="N24:N26"/>
    <mergeCell ref="M27:M32"/>
    <mergeCell ref="N27:N29"/>
    <mergeCell ref="N30:N32"/>
    <mergeCell ref="Q6:S6"/>
    <mergeCell ref="M39:M40"/>
    <mergeCell ref="L34:L40"/>
    <mergeCell ref="S34:T34"/>
    <mergeCell ref="S35:T35"/>
    <mergeCell ref="S36:T36"/>
    <mergeCell ref="S37:T37"/>
    <mergeCell ref="S38:T38"/>
    <mergeCell ref="S39:T39"/>
    <mergeCell ref="S40:T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3EA2C-BB4A-47AB-94E4-148FC4166FB2}">
  <dimension ref="B1:O65"/>
  <sheetViews>
    <sheetView tabSelected="1" zoomScale="70" zoomScaleNormal="70" workbookViewId="0">
      <selection activeCell="I24" sqref="I24"/>
    </sheetView>
  </sheetViews>
  <sheetFormatPr baseColWidth="10" defaultRowHeight="15" x14ac:dyDescent="0.25"/>
  <cols>
    <col min="2" max="2" width="14.85546875" customWidth="1"/>
    <col min="4" max="4" width="11.5703125" customWidth="1"/>
    <col min="5" max="5" width="14.5703125" customWidth="1"/>
    <col min="6" max="6" width="13.42578125" customWidth="1"/>
    <col min="8" max="8" width="14" customWidth="1"/>
    <col min="9" max="9" width="17.7109375" customWidth="1"/>
  </cols>
  <sheetData>
    <row r="1" spans="2:15" x14ac:dyDescent="0.25">
      <c r="I1" s="420"/>
    </row>
    <row r="2" spans="2:15" x14ac:dyDescent="0.25">
      <c r="B2" s="405" t="s">
        <v>393</v>
      </c>
      <c r="C2" s="405"/>
      <c r="D2" s="405"/>
      <c r="E2" s="262" t="s">
        <v>14</v>
      </c>
      <c r="F2" s="413" t="s">
        <v>380</v>
      </c>
      <c r="G2" s="405"/>
      <c r="H2" s="405"/>
      <c r="I2" s="263" t="s">
        <v>14</v>
      </c>
      <c r="J2" s="5"/>
      <c r="K2" s="5"/>
      <c r="L2" s="5"/>
      <c r="M2" s="35"/>
      <c r="N2" s="35"/>
      <c r="O2" s="35"/>
    </row>
    <row r="3" spans="2:15" x14ac:dyDescent="0.25">
      <c r="B3" s="418" t="s">
        <v>85</v>
      </c>
      <c r="C3" s="419"/>
      <c r="D3" s="419"/>
      <c r="E3" s="413"/>
      <c r="F3" s="317" t="s">
        <v>380</v>
      </c>
      <c r="G3" s="340"/>
      <c r="H3" s="340"/>
      <c r="I3" s="341"/>
      <c r="J3" s="5"/>
      <c r="K3" s="260"/>
      <c r="L3" s="35"/>
      <c r="M3" s="35"/>
      <c r="N3" s="35"/>
      <c r="O3" s="35"/>
    </row>
    <row r="4" spans="2:15" x14ac:dyDescent="0.25">
      <c r="B4" s="405" t="s">
        <v>394</v>
      </c>
      <c r="C4" s="405"/>
      <c r="D4" s="262"/>
      <c r="E4" s="416"/>
      <c r="F4" s="341" t="s">
        <v>390</v>
      </c>
      <c r="G4" s="290"/>
      <c r="H4" s="208"/>
      <c r="I4" s="261"/>
      <c r="J4" s="5"/>
      <c r="K4" s="260"/>
      <c r="L4" s="35"/>
      <c r="M4" s="35"/>
      <c r="N4" s="35"/>
      <c r="O4" s="35"/>
    </row>
    <row r="5" spans="2:15" x14ac:dyDescent="0.25">
      <c r="B5" s="418" t="s">
        <v>387</v>
      </c>
      <c r="C5" s="419"/>
      <c r="D5" s="419"/>
      <c r="E5" s="413"/>
      <c r="F5" s="317" t="s">
        <v>387</v>
      </c>
      <c r="G5" s="340"/>
      <c r="H5" s="340"/>
      <c r="I5" s="341"/>
      <c r="J5" s="5"/>
      <c r="K5" s="5"/>
      <c r="L5" s="35"/>
      <c r="M5" s="35"/>
      <c r="N5" s="35"/>
      <c r="O5" s="35"/>
    </row>
    <row r="6" spans="2:15" ht="15.75" x14ac:dyDescent="0.25">
      <c r="B6" s="266" t="s">
        <v>85</v>
      </c>
      <c r="C6" s="210">
        <v>3</v>
      </c>
      <c r="D6" s="406">
        <f>C6*$D$4</f>
        <v>0</v>
      </c>
      <c r="E6" s="416"/>
      <c r="F6" s="414" t="s">
        <v>391</v>
      </c>
      <c r="G6" s="208">
        <v>1.2</v>
      </c>
      <c r="H6" s="208">
        <f>G6*$D$50</f>
        <v>0</v>
      </c>
      <c r="I6" s="270"/>
      <c r="J6" s="268"/>
      <c r="K6" s="268"/>
      <c r="L6" s="35"/>
      <c r="M6" s="35"/>
      <c r="N6" s="35"/>
      <c r="O6" s="35"/>
    </row>
    <row r="7" spans="2:15" ht="15" customHeight="1" x14ac:dyDescent="0.25">
      <c r="B7" s="263" t="s">
        <v>253</v>
      </c>
      <c r="C7" s="208">
        <v>4</v>
      </c>
      <c r="D7" s="406">
        <f t="shared" ref="D7:D10" si="0">C7*$D$4</f>
        <v>0</v>
      </c>
      <c r="E7" s="416"/>
      <c r="F7" s="414" t="s">
        <v>392</v>
      </c>
      <c r="G7" s="208">
        <v>0.5</v>
      </c>
      <c r="H7" s="208">
        <f t="shared" ref="H7:H9" si="1">G7*$D$50</f>
        <v>0</v>
      </c>
      <c r="I7" s="270"/>
      <c r="J7" s="268"/>
      <c r="K7" s="268"/>
      <c r="L7" s="35"/>
      <c r="M7" s="35"/>
      <c r="N7" s="35"/>
      <c r="O7" s="35"/>
    </row>
    <row r="8" spans="2:15" ht="15" customHeight="1" x14ac:dyDescent="0.25">
      <c r="B8" s="265" t="s">
        <v>381</v>
      </c>
      <c r="C8" s="208">
        <v>0.4</v>
      </c>
      <c r="D8" s="406">
        <f t="shared" si="0"/>
        <v>0</v>
      </c>
      <c r="E8" s="416"/>
      <c r="F8" s="407" t="s">
        <v>84</v>
      </c>
      <c r="G8" s="261">
        <v>0.2</v>
      </c>
      <c r="H8" s="208">
        <f t="shared" si="1"/>
        <v>0</v>
      </c>
      <c r="I8" s="270"/>
      <c r="J8" s="268"/>
      <c r="K8" s="268"/>
      <c r="L8" s="35"/>
      <c r="M8" s="35"/>
      <c r="N8" s="35"/>
      <c r="O8" s="35"/>
    </row>
    <row r="9" spans="2:15" ht="15" customHeight="1" x14ac:dyDescent="0.25">
      <c r="B9" s="262" t="s">
        <v>386</v>
      </c>
      <c r="C9" s="246">
        <v>0.4</v>
      </c>
      <c r="D9" s="406">
        <f t="shared" si="0"/>
        <v>0</v>
      </c>
      <c r="E9" s="417"/>
      <c r="F9" s="415" t="s">
        <v>80</v>
      </c>
      <c r="G9" s="272">
        <v>3</v>
      </c>
      <c r="H9" s="208">
        <f t="shared" si="1"/>
        <v>0</v>
      </c>
      <c r="I9" s="270"/>
      <c r="J9" s="268"/>
      <c r="K9" s="268"/>
      <c r="L9" s="35"/>
      <c r="M9" s="35"/>
      <c r="N9" s="35"/>
      <c r="O9" s="35"/>
    </row>
    <row r="10" spans="2:15" ht="15" customHeight="1" x14ac:dyDescent="0.25">
      <c r="B10" s="262" t="s">
        <v>251</v>
      </c>
      <c r="C10" s="246">
        <v>2</v>
      </c>
      <c r="D10" s="406">
        <f t="shared" si="0"/>
        <v>0</v>
      </c>
      <c r="E10" s="417"/>
      <c r="F10" s="247"/>
      <c r="G10" s="35"/>
      <c r="H10" s="35"/>
      <c r="I10" s="268"/>
      <c r="J10" s="268"/>
      <c r="K10" s="268"/>
      <c r="L10" s="35"/>
      <c r="M10" s="5"/>
      <c r="N10" s="35"/>
      <c r="O10" s="35"/>
    </row>
    <row r="11" spans="2:15" ht="15" customHeight="1" x14ac:dyDescent="0.25">
      <c r="B11" s="337" t="s">
        <v>383</v>
      </c>
      <c r="C11" s="338"/>
      <c r="D11" s="338"/>
      <c r="E11" s="339"/>
      <c r="F11" s="247"/>
      <c r="G11" s="5"/>
      <c r="H11" s="35"/>
      <c r="I11" s="268"/>
      <c r="J11" s="268"/>
      <c r="K11" s="268"/>
      <c r="L11" s="35"/>
      <c r="M11" s="5"/>
      <c r="N11" s="35"/>
      <c r="O11" s="35"/>
    </row>
    <row r="12" spans="2:15" ht="15" customHeight="1" x14ac:dyDescent="0.25">
      <c r="B12" s="336" t="s">
        <v>390</v>
      </c>
      <c r="C12" s="336"/>
      <c r="D12" s="270"/>
      <c r="E12" s="416"/>
      <c r="F12" s="247"/>
      <c r="G12" s="5"/>
      <c r="H12" s="35"/>
      <c r="I12" s="268"/>
      <c r="J12" s="268"/>
      <c r="K12" s="268"/>
      <c r="L12" s="35"/>
      <c r="M12" s="5"/>
      <c r="N12" s="35"/>
      <c r="O12" s="35"/>
    </row>
    <row r="13" spans="2:15" ht="15" customHeight="1" x14ac:dyDescent="0.25">
      <c r="B13" s="337" t="s">
        <v>387</v>
      </c>
      <c r="C13" s="338"/>
      <c r="D13" s="338"/>
      <c r="E13" s="339"/>
      <c r="F13" s="247"/>
      <c r="G13" s="5"/>
      <c r="H13" s="35"/>
      <c r="I13" s="268"/>
      <c r="J13" s="268"/>
      <c r="K13" s="268"/>
      <c r="L13" s="35"/>
      <c r="M13" s="5"/>
      <c r="N13" s="35"/>
      <c r="O13" s="35"/>
    </row>
    <row r="14" spans="2:15" ht="15" customHeight="1" x14ac:dyDescent="0.25">
      <c r="B14" s="270" t="s">
        <v>246</v>
      </c>
      <c r="C14" s="270">
        <v>0.4</v>
      </c>
      <c r="D14" s="270">
        <f>C14*$K$41</f>
        <v>0</v>
      </c>
      <c r="E14" s="416"/>
      <c r="F14" s="249"/>
      <c r="G14" s="5"/>
      <c r="H14" s="35"/>
      <c r="I14" s="268"/>
      <c r="J14" s="268"/>
      <c r="K14" s="268"/>
      <c r="L14" s="35"/>
      <c r="M14" s="5"/>
      <c r="N14" s="35"/>
      <c r="O14" s="35"/>
    </row>
    <row r="15" spans="2:15" ht="15" customHeight="1" x14ac:dyDescent="0.25">
      <c r="B15" s="270" t="s">
        <v>384</v>
      </c>
      <c r="C15" s="270">
        <v>0.08</v>
      </c>
      <c r="D15" s="270">
        <f>C15*$K$41</f>
        <v>0</v>
      </c>
      <c r="E15" s="416"/>
      <c r="F15" s="247"/>
      <c r="G15" s="5"/>
      <c r="H15" s="35"/>
      <c r="I15" s="268"/>
      <c r="J15" s="268"/>
      <c r="K15" s="268"/>
      <c r="L15" s="35"/>
      <c r="M15" s="5"/>
      <c r="N15" s="35"/>
      <c r="O15" s="35"/>
    </row>
    <row r="16" spans="2:15" ht="15" customHeight="1" x14ac:dyDescent="0.25">
      <c r="B16" s="337" t="s">
        <v>388</v>
      </c>
      <c r="C16" s="338"/>
      <c r="D16" s="338"/>
      <c r="E16" s="339"/>
      <c r="F16" s="247"/>
      <c r="G16" s="35"/>
      <c r="H16" s="35"/>
      <c r="I16" s="268"/>
      <c r="J16" s="268"/>
      <c r="K16" s="268"/>
      <c r="L16" s="35"/>
      <c r="M16" s="5"/>
      <c r="N16" s="35"/>
      <c r="O16" s="35"/>
    </row>
    <row r="17" spans="2:15" ht="15" customHeight="1" x14ac:dyDescent="0.25">
      <c r="B17" s="337" t="s">
        <v>389</v>
      </c>
      <c r="C17" s="339"/>
      <c r="D17" s="412"/>
      <c r="E17" s="416"/>
      <c r="F17" s="247"/>
      <c r="G17" s="5"/>
      <c r="H17" s="35"/>
      <c r="I17" s="268"/>
      <c r="J17" s="268"/>
      <c r="K17" s="268"/>
      <c r="L17" s="35"/>
      <c r="M17" s="5"/>
      <c r="N17" s="35"/>
      <c r="O17" s="35"/>
    </row>
    <row r="18" spans="2:15" ht="15" customHeight="1" x14ac:dyDescent="0.25">
      <c r="B18" s="337" t="s">
        <v>387</v>
      </c>
      <c r="C18" s="338"/>
      <c r="D18" s="339"/>
      <c r="E18" s="416"/>
      <c r="F18" s="247"/>
      <c r="G18" s="35"/>
      <c r="H18" s="35"/>
      <c r="I18" s="268"/>
      <c r="J18" s="268"/>
      <c r="K18" s="268"/>
      <c r="L18" s="35"/>
      <c r="M18" s="5"/>
      <c r="N18" s="35"/>
      <c r="O18" s="35"/>
    </row>
    <row r="19" spans="2:15" ht="15.75" customHeight="1" x14ac:dyDescent="0.25">
      <c r="B19" s="270" t="s">
        <v>385</v>
      </c>
      <c r="C19" s="270">
        <v>14</v>
      </c>
      <c r="D19" s="412">
        <f>C19*$L$41</f>
        <v>0</v>
      </c>
      <c r="E19" s="416"/>
      <c r="F19" s="247"/>
      <c r="G19" s="5"/>
      <c r="H19" s="35"/>
      <c r="I19" s="268"/>
      <c r="J19" s="268"/>
      <c r="K19" s="268"/>
      <c r="L19" s="35"/>
      <c r="M19" s="5"/>
      <c r="N19" s="35"/>
      <c r="O19" s="35"/>
    </row>
    <row r="20" spans="2:15" ht="15" customHeight="1" x14ac:dyDescent="0.25">
      <c r="B20" s="270" t="s">
        <v>257</v>
      </c>
      <c r="C20" s="270">
        <v>0.2</v>
      </c>
      <c r="D20" s="412">
        <f>C20*$L$41</f>
        <v>0</v>
      </c>
      <c r="E20" s="416"/>
      <c r="F20" s="247"/>
      <c r="G20" s="35"/>
      <c r="H20" s="35"/>
      <c r="I20" s="268"/>
      <c r="J20" s="268"/>
      <c r="K20" s="268"/>
      <c r="L20" s="35"/>
      <c r="M20" s="35"/>
      <c r="N20" s="35"/>
      <c r="O20" s="35"/>
    </row>
    <row r="21" spans="2:15" ht="15" customHeight="1" x14ac:dyDescent="0.25">
      <c r="B21" s="264"/>
      <c r="C21" s="264"/>
      <c r="D21" s="247"/>
      <c r="E21" s="248"/>
      <c r="F21" s="247"/>
      <c r="G21" s="35"/>
      <c r="H21" s="35"/>
      <c r="I21" s="268"/>
      <c r="J21" s="268"/>
      <c r="K21" s="268"/>
      <c r="L21" s="35"/>
      <c r="M21" s="35"/>
      <c r="N21" s="35"/>
      <c r="O21" s="35"/>
    </row>
    <row r="22" spans="2:15" ht="15" customHeight="1" x14ac:dyDescent="0.25">
      <c r="B22" s="264"/>
      <c r="C22" s="264"/>
      <c r="D22" s="247"/>
      <c r="E22" s="248"/>
      <c r="F22" s="247"/>
      <c r="G22" s="35"/>
      <c r="H22" s="35"/>
      <c r="I22" s="268"/>
      <c r="J22" s="268"/>
      <c r="K22" s="268"/>
      <c r="L22" s="35"/>
      <c r="M22" s="35"/>
      <c r="N22" s="35"/>
      <c r="O22" s="35"/>
    </row>
    <row r="23" spans="2:15" ht="15" customHeight="1" x14ac:dyDescent="0.25">
      <c r="B23" s="404"/>
      <c r="C23" s="404"/>
      <c r="D23" s="404"/>
      <c r="E23" s="248"/>
      <c r="F23" s="248"/>
      <c r="G23" s="251"/>
      <c r="H23" s="35"/>
      <c r="I23" s="268"/>
      <c r="J23" s="268"/>
      <c r="K23" s="268"/>
      <c r="L23" s="35"/>
      <c r="M23" s="35"/>
      <c r="N23" s="35"/>
      <c r="O23" s="35"/>
    </row>
    <row r="24" spans="2:15" ht="15" customHeight="1" x14ac:dyDescent="0.25">
      <c r="B24" s="404"/>
      <c r="C24" s="404"/>
      <c r="D24" s="404"/>
      <c r="E24" s="248"/>
      <c r="F24" s="248"/>
      <c r="G24" s="35"/>
      <c r="H24" s="35"/>
      <c r="I24" s="268"/>
      <c r="J24" s="268"/>
      <c r="K24" s="268"/>
      <c r="L24" s="35"/>
      <c r="M24" s="35"/>
      <c r="N24" s="35"/>
      <c r="O24" s="35"/>
    </row>
    <row r="25" spans="2:15" ht="15" customHeight="1" x14ac:dyDescent="0.25">
      <c r="B25" s="404"/>
      <c r="C25" s="404"/>
      <c r="D25" s="404"/>
      <c r="E25" s="248"/>
      <c r="F25" s="247"/>
      <c r="G25" s="35"/>
      <c r="H25" s="35"/>
      <c r="I25" s="268"/>
      <c r="J25" s="268"/>
      <c r="K25" s="268"/>
      <c r="L25" s="35"/>
      <c r="M25" s="35"/>
      <c r="N25" s="35"/>
      <c r="O25" s="35"/>
    </row>
    <row r="26" spans="2:15" ht="15" customHeight="1" x14ac:dyDescent="0.25">
      <c r="B26" s="404"/>
      <c r="C26" s="404"/>
      <c r="D26" s="404"/>
      <c r="E26" s="248"/>
      <c r="F26" s="247"/>
      <c r="G26" s="35"/>
      <c r="H26" s="35"/>
      <c r="I26" s="268"/>
      <c r="J26" s="268"/>
      <c r="K26" s="268"/>
      <c r="L26" s="35"/>
      <c r="M26" s="35"/>
      <c r="N26" s="35"/>
      <c r="O26" s="35"/>
    </row>
    <row r="27" spans="2:15" ht="15" customHeight="1" x14ac:dyDescent="0.25">
      <c r="B27" s="404"/>
      <c r="C27" s="404"/>
      <c r="D27" s="404"/>
      <c r="E27" s="248"/>
      <c r="F27" s="248"/>
      <c r="G27" s="251"/>
      <c r="H27" s="35"/>
      <c r="I27" s="268"/>
      <c r="J27" s="268"/>
      <c r="K27" s="268"/>
      <c r="L27" s="35"/>
      <c r="M27" s="35"/>
      <c r="N27" s="35"/>
      <c r="O27" s="35"/>
    </row>
    <row r="28" spans="2:15" ht="15" customHeight="1" x14ac:dyDescent="0.25">
      <c r="B28" s="404"/>
      <c r="C28" s="404"/>
      <c r="D28" s="404"/>
      <c r="E28" s="248"/>
      <c r="F28" s="247"/>
      <c r="G28" s="35"/>
      <c r="H28" s="35"/>
      <c r="I28" s="268"/>
      <c r="J28" s="268"/>
      <c r="K28" s="268"/>
      <c r="L28" s="35"/>
      <c r="M28" s="35"/>
      <c r="N28" s="35"/>
      <c r="O28" s="35"/>
    </row>
    <row r="29" spans="2:15" ht="15" customHeight="1" x14ac:dyDescent="0.25">
      <c r="B29" s="404"/>
      <c r="C29" s="404"/>
      <c r="D29" s="404"/>
      <c r="E29" s="248"/>
      <c r="F29" s="247"/>
      <c r="G29" s="35"/>
      <c r="H29" s="35"/>
      <c r="I29" s="268"/>
      <c r="J29" s="268"/>
      <c r="K29" s="268"/>
      <c r="L29" s="35"/>
      <c r="M29" s="35"/>
      <c r="N29" s="35"/>
      <c r="O29" s="35"/>
    </row>
    <row r="30" spans="2:15" ht="15" customHeight="1" x14ac:dyDescent="0.25">
      <c r="B30" s="404"/>
      <c r="C30" s="404"/>
      <c r="D30" s="404"/>
      <c r="E30" s="248"/>
      <c r="F30" s="247"/>
      <c r="G30" s="35"/>
      <c r="H30" s="35"/>
      <c r="I30" s="268"/>
      <c r="J30" s="268"/>
      <c r="K30" s="268"/>
      <c r="L30" s="35"/>
      <c r="M30" s="35"/>
      <c r="N30" s="35"/>
      <c r="O30" s="35"/>
    </row>
    <row r="31" spans="2:15" ht="15" customHeight="1" x14ac:dyDescent="0.25">
      <c r="B31" s="404"/>
      <c r="C31" s="404"/>
      <c r="D31" s="404"/>
      <c r="E31" s="248"/>
      <c r="F31" s="247"/>
      <c r="G31" s="35"/>
      <c r="H31" s="35"/>
      <c r="I31" s="268"/>
      <c r="J31" s="268"/>
      <c r="K31" s="268"/>
      <c r="L31" s="35"/>
      <c r="M31" s="35"/>
      <c r="N31" s="35"/>
      <c r="O31" s="35"/>
    </row>
    <row r="32" spans="2:15" ht="15" customHeight="1" x14ac:dyDescent="0.25">
      <c r="B32" s="4"/>
      <c r="C32" s="4"/>
      <c r="D32" s="35"/>
      <c r="E32" s="5"/>
      <c r="F32" s="35"/>
      <c r="G32" s="35"/>
      <c r="H32" s="35"/>
      <c r="I32" s="268"/>
      <c r="J32" s="268"/>
      <c r="K32" s="268"/>
      <c r="L32" s="35"/>
      <c r="M32" s="35"/>
      <c r="N32" s="35"/>
      <c r="O32" s="35"/>
    </row>
    <row r="33" spans="2:15" ht="15" customHeight="1" x14ac:dyDescent="0.25">
      <c r="B33" s="4"/>
      <c r="C33" s="4"/>
      <c r="D33" s="35"/>
      <c r="E33" s="5"/>
      <c r="F33" s="35"/>
      <c r="G33" s="35"/>
      <c r="H33" s="35"/>
      <c r="I33" s="268"/>
      <c r="J33" s="268"/>
      <c r="K33" s="268"/>
      <c r="L33" s="35"/>
      <c r="M33" s="35"/>
      <c r="N33" s="35"/>
      <c r="O33" s="35"/>
    </row>
    <row r="34" spans="2:15" ht="15" customHeight="1" x14ac:dyDescent="0.25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35"/>
      <c r="N34" s="35"/>
      <c r="O34" s="35"/>
    </row>
    <row r="35" spans="2:15" ht="15" customHeight="1" x14ac:dyDescent="0.25">
      <c r="B35" s="5"/>
      <c r="C35" s="5"/>
      <c r="D35" s="5"/>
      <c r="E35" s="5"/>
      <c r="F35" s="268"/>
      <c r="G35" s="268"/>
      <c r="H35" s="268"/>
      <c r="I35" s="268"/>
      <c r="J35" s="268"/>
      <c r="K35" s="268"/>
      <c r="L35" s="268"/>
      <c r="M35" s="35"/>
      <c r="N35" s="35"/>
      <c r="O35" s="35"/>
    </row>
    <row r="36" spans="2:15" ht="15" customHeight="1" x14ac:dyDescent="0.25">
      <c r="B36" s="5"/>
      <c r="C36" s="5"/>
      <c r="D36" s="35"/>
      <c r="E36" s="5"/>
      <c r="F36" s="268"/>
      <c r="G36" s="268"/>
      <c r="H36" s="268"/>
      <c r="I36" s="268"/>
      <c r="J36" s="268"/>
      <c r="K36" s="268"/>
      <c r="L36" s="35"/>
      <c r="M36" s="35"/>
      <c r="N36" s="35"/>
      <c r="O36" s="35"/>
    </row>
    <row r="37" spans="2:15" ht="15" customHeight="1" x14ac:dyDescent="0.25">
      <c r="B37" s="5"/>
      <c r="C37" s="5"/>
      <c r="D37" s="5"/>
      <c r="E37" s="5"/>
      <c r="F37" s="268"/>
      <c r="G37" s="268"/>
      <c r="H37" s="268"/>
      <c r="I37" s="408"/>
      <c r="J37" s="268"/>
      <c r="K37" s="268"/>
      <c r="L37" s="268"/>
      <c r="M37" s="35"/>
      <c r="N37" s="35"/>
      <c r="O37" s="35"/>
    </row>
    <row r="38" spans="2:15" ht="15" customHeight="1" x14ac:dyDescent="0.25">
      <c r="B38" s="267"/>
      <c r="C38" s="35"/>
      <c r="D38" s="35"/>
      <c r="E38" s="5"/>
      <c r="F38" s="268"/>
      <c r="G38" s="268"/>
      <c r="H38" s="268"/>
      <c r="I38" s="268"/>
      <c r="J38" s="268"/>
      <c r="K38" s="268"/>
      <c r="L38" s="35"/>
      <c r="M38" s="35"/>
      <c r="N38" s="35"/>
      <c r="O38" s="35"/>
    </row>
    <row r="39" spans="2:15" ht="15" customHeight="1" x14ac:dyDescent="0.25">
      <c r="B39" s="267"/>
      <c r="C39" s="35"/>
      <c r="D39" s="35"/>
      <c r="E39" s="5"/>
      <c r="F39" s="268"/>
      <c r="G39" s="268"/>
      <c r="H39" s="268"/>
      <c r="I39" s="268"/>
      <c r="J39" s="268"/>
      <c r="K39" s="268"/>
      <c r="L39" s="35"/>
      <c r="M39" s="35"/>
      <c r="N39" s="35"/>
      <c r="O39" s="35"/>
    </row>
    <row r="40" spans="2:15" ht="15" customHeight="1" x14ac:dyDescent="0.25">
      <c r="B40" s="4"/>
      <c r="C40" s="35"/>
      <c r="D40" s="35"/>
      <c r="E40" s="5"/>
      <c r="F40" s="35"/>
      <c r="G40" s="35"/>
      <c r="H40" s="35"/>
      <c r="I40" s="269"/>
      <c r="J40" s="269"/>
      <c r="K40" s="269"/>
      <c r="L40" s="35"/>
      <c r="M40" s="35"/>
      <c r="N40" s="35"/>
      <c r="O40" s="35"/>
    </row>
    <row r="41" spans="2:15" ht="15" customHeight="1" x14ac:dyDescent="0.25">
      <c r="B41" s="264"/>
      <c r="C41" s="247"/>
      <c r="D41" s="35"/>
      <c r="E41" s="5"/>
      <c r="F41" s="271"/>
      <c r="G41" s="271"/>
      <c r="H41" s="271"/>
      <c r="I41" s="271"/>
      <c r="J41" s="271"/>
      <c r="K41" s="271"/>
      <c r="L41" s="35"/>
      <c r="M41" s="35"/>
      <c r="N41" s="35"/>
      <c r="O41" s="35"/>
    </row>
    <row r="42" spans="2:15" ht="15" customHeight="1" x14ac:dyDescent="0.25">
      <c r="B42" s="264"/>
      <c r="C42" s="247"/>
      <c r="D42" s="35"/>
      <c r="E42" s="5"/>
      <c r="F42" s="271"/>
      <c r="G42" s="271"/>
      <c r="H42" s="269"/>
      <c r="I42" s="271"/>
      <c r="J42" s="271"/>
      <c r="K42" s="269"/>
      <c r="L42" s="35"/>
      <c r="M42" s="35"/>
      <c r="N42" s="35"/>
      <c r="O42" s="35"/>
    </row>
    <row r="43" spans="2:15" ht="15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35"/>
      <c r="N43" s="35"/>
      <c r="O43" s="35"/>
    </row>
    <row r="44" spans="2:15" ht="15" customHeight="1" x14ac:dyDescent="0.25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35"/>
      <c r="N44" s="35"/>
      <c r="O44" s="35"/>
    </row>
    <row r="45" spans="2:15" ht="15.75" customHeight="1" x14ac:dyDescent="0.25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35"/>
      <c r="N45" s="35"/>
      <c r="O45" s="35"/>
    </row>
    <row r="46" spans="2:15" ht="15.75" customHeight="1" x14ac:dyDescent="0.25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35"/>
      <c r="N46" s="35"/>
      <c r="O46" s="35"/>
    </row>
    <row r="47" spans="2:15" ht="15.75" customHeight="1" x14ac:dyDescent="0.25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2:15" ht="15.75" customHeight="1" x14ac:dyDescent="0.25"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249"/>
    </row>
    <row r="49" spans="2:12" ht="15.75" x14ac:dyDescent="0.25">
      <c r="B49" s="249"/>
      <c r="C49" s="249"/>
      <c r="D49" s="249"/>
      <c r="E49" s="249"/>
      <c r="F49" s="409"/>
      <c r="G49" s="409"/>
      <c r="H49" s="409"/>
      <c r="I49" s="409"/>
      <c r="J49" s="410"/>
      <c r="K49" s="410"/>
      <c r="L49" s="247"/>
    </row>
    <row r="50" spans="2:12" ht="15.75" x14ac:dyDescent="0.25">
      <c r="B50" s="249"/>
      <c r="C50" s="249"/>
      <c r="D50" s="247"/>
      <c r="E50" s="249"/>
      <c r="F50" s="249"/>
      <c r="G50" s="249"/>
      <c r="H50" s="247"/>
      <c r="I50" s="409"/>
      <c r="J50" s="410"/>
      <c r="K50" s="410"/>
      <c r="L50" s="247"/>
    </row>
    <row r="51" spans="2:12" ht="15.75" x14ac:dyDescent="0.25">
      <c r="B51" s="249"/>
      <c r="C51" s="249"/>
      <c r="D51" s="249"/>
      <c r="E51" s="249"/>
      <c r="F51" s="249"/>
      <c r="G51" s="249"/>
      <c r="H51" s="247"/>
      <c r="I51" s="409"/>
      <c r="J51" s="410"/>
      <c r="K51" s="410"/>
      <c r="L51" s="247"/>
    </row>
    <row r="52" spans="2:12" ht="15" customHeight="1" x14ac:dyDescent="0.25">
      <c r="B52" s="247"/>
      <c r="C52" s="247"/>
      <c r="D52" s="247"/>
      <c r="E52" s="247"/>
      <c r="F52" s="249"/>
      <c r="G52" s="249"/>
      <c r="H52" s="249"/>
      <c r="I52" s="409"/>
      <c r="J52" s="249"/>
      <c r="K52" s="247"/>
      <c r="L52" s="247"/>
    </row>
    <row r="53" spans="2:12" ht="15.75" customHeight="1" x14ac:dyDescent="0.25">
      <c r="B53" s="247"/>
      <c r="C53" s="247"/>
      <c r="D53" s="247"/>
      <c r="E53" s="247"/>
      <c r="F53" s="247"/>
      <c r="G53" s="247"/>
      <c r="H53" s="247"/>
      <c r="I53" s="409"/>
      <c r="J53" s="247"/>
      <c r="K53" s="247"/>
      <c r="L53" s="247"/>
    </row>
    <row r="54" spans="2:12" ht="15" customHeight="1" x14ac:dyDescent="0.25">
      <c r="B54" s="249"/>
      <c r="C54" s="249"/>
      <c r="D54" s="247"/>
      <c r="E54" s="249"/>
      <c r="F54" s="247"/>
      <c r="G54" s="247"/>
      <c r="H54" s="247"/>
      <c r="I54" s="409"/>
      <c r="J54" s="247"/>
      <c r="K54" s="247"/>
      <c r="L54" s="247"/>
    </row>
    <row r="55" spans="2:12" ht="15" customHeight="1" x14ac:dyDescent="0.25">
      <c r="B55" s="249"/>
      <c r="C55" s="249"/>
      <c r="D55" s="247"/>
      <c r="E55" s="249"/>
      <c r="F55" s="247"/>
      <c r="G55" s="247"/>
      <c r="H55" s="247"/>
      <c r="I55" s="409"/>
      <c r="J55" s="247"/>
      <c r="K55" s="247"/>
      <c r="L55" s="247"/>
    </row>
    <row r="56" spans="2:12" ht="15" customHeight="1" x14ac:dyDescent="0.25">
      <c r="B56" s="247"/>
      <c r="C56" s="247"/>
      <c r="D56" s="247"/>
      <c r="E56" s="249"/>
      <c r="F56" s="247"/>
      <c r="G56" s="411"/>
      <c r="H56" s="247"/>
      <c r="I56" s="409"/>
      <c r="J56" s="247"/>
      <c r="K56" s="247"/>
      <c r="L56" s="247"/>
    </row>
    <row r="57" spans="2:12" x14ac:dyDescent="0.25">
      <c r="B57" s="35"/>
      <c r="C57" s="35"/>
      <c r="D57" s="35"/>
      <c r="E57" s="5"/>
      <c r="F57" s="35"/>
      <c r="G57" s="35"/>
    </row>
    <row r="58" spans="2:12" x14ac:dyDescent="0.25">
      <c r="B58" s="249"/>
      <c r="C58" s="249"/>
      <c r="D58" s="249"/>
      <c r="E58" s="5"/>
      <c r="F58" s="35"/>
      <c r="G58" s="35"/>
    </row>
    <row r="59" spans="2:12" x14ac:dyDescent="0.25">
      <c r="B59" s="249"/>
      <c r="C59" s="249"/>
      <c r="D59" s="35"/>
      <c r="E59" s="5"/>
      <c r="F59" s="35"/>
      <c r="G59" s="35"/>
    </row>
    <row r="60" spans="2:12" x14ac:dyDescent="0.25">
      <c r="B60" s="5"/>
      <c r="C60" s="5"/>
      <c r="D60" s="5"/>
      <c r="E60" s="5"/>
      <c r="F60" s="35"/>
      <c r="G60" s="35"/>
    </row>
    <row r="61" spans="2:12" x14ac:dyDescent="0.25">
      <c r="B61" s="5"/>
      <c r="C61" s="5"/>
      <c r="D61" s="5"/>
      <c r="E61" s="5"/>
      <c r="F61" s="35"/>
      <c r="G61" s="35"/>
    </row>
    <row r="62" spans="2:12" x14ac:dyDescent="0.25">
      <c r="B62" s="35"/>
      <c r="C62" s="35"/>
      <c r="D62" s="35"/>
      <c r="E62" s="5"/>
      <c r="F62" s="35"/>
      <c r="G62" s="35"/>
    </row>
    <row r="63" spans="2:12" x14ac:dyDescent="0.25">
      <c r="B63" s="35"/>
      <c r="C63" s="35"/>
      <c r="D63" s="35"/>
    </row>
    <row r="64" spans="2:12" x14ac:dyDescent="0.25">
      <c r="B64" s="35"/>
      <c r="C64" s="35"/>
      <c r="D64" s="35"/>
    </row>
    <row r="65" spans="2:4" x14ac:dyDescent="0.25">
      <c r="B65" s="35"/>
      <c r="C65" s="273"/>
      <c r="D65" s="35"/>
    </row>
  </sheetData>
  <sortState xmlns:xlrd2="http://schemas.microsoft.com/office/spreadsheetml/2017/richdata2" ref="B29:B33">
    <sortCondition ref="B29:B33"/>
  </sortState>
  <mergeCells count="14">
    <mergeCell ref="B3:E3"/>
    <mergeCell ref="F3:I3"/>
    <mergeCell ref="F5:I5"/>
    <mergeCell ref="B11:E11"/>
    <mergeCell ref="B16:E16"/>
    <mergeCell ref="B13:E13"/>
    <mergeCell ref="B5:E5"/>
    <mergeCell ref="B12:C12"/>
    <mergeCell ref="B17:C17"/>
    <mergeCell ref="B18:D18"/>
    <mergeCell ref="F2:H2"/>
    <mergeCell ref="F4:G4"/>
    <mergeCell ref="B2:D2"/>
    <mergeCell ref="B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F3346-D798-4CD2-A940-EDEF3985AD98}">
  <dimension ref="E2:U139"/>
  <sheetViews>
    <sheetView topLeftCell="A25" zoomScale="50" zoomScaleNormal="50" workbookViewId="0">
      <selection activeCell="K4" sqref="K4:L17"/>
    </sheetView>
  </sheetViews>
  <sheetFormatPr baseColWidth="10" defaultRowHeight="15" x14ac:dyDescent="0.25"/>
  <cols>
    <col min="1" max="1" width="20.42578125" customWidth="1"/>
    <col min="4" max="4" width="7.85546875" customWidth="1"/>
    <col min="5" max="5" width="15" customWidth="1"/>
    <col min="7" max="7" width="15.140625" customWidth="1"/>
    <col min="9" max="9" width="14.7109375" customWidth="1"/>
    <col min="10" max="10" width="12.28515625" customWidth="1"/>
    <col min="11" max="11" width="15.5703125" customWidth="1"/>
    <col min="12" max="12" width="12.28515625" customWidth="1"/>
    <col min="13" max="13" width="15.140625" customWidth="1"/>
    <col min="14" max="14" width="15" customWidth="1"/>
    <col min="15" max="15" width="13.7109375" customWidth="1"/>
    <col min="16" max="16" width="14.28515625" customWidth="1"/>
    <col min="17" max="17" width="14.85546875" customWidth="1"/>
    <col min="18" max="18" width="15.28515625" customWidth="1"/>
    <col min="20" max="20" width="16.140625" customWidth="1"/>
  </cols>
  <sheetData>
    <row r="2" spans="5:18" x14ac:dyDescent="0.25">
      <c r="E2" s="290" t="s">
        <v>265</v>
      </c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</row>
    <row r="3" spans="5:18" x14ac:dyDescent="0.25">
      <c r="E3" s="288" t="s">
        <v>97</v>
      </c>
      <c r="F3" s="288"/>
      <c r="G3" s="287" t="s">
        <v>98</v>
      </c>
      <c r="H3" s="287"/>
      <c r="I3" s="282" t="s">
        <v>99</v>
      </c>
      <c r="J3" s="282"/>
      <c r="K3" s="291" t="s">
        <v>100</v>
      </c>
      <c r="L3" s="293"/>
      <c r="M3" s="288" t="s">
        <v>110</v>
      </c>
      <c r="N3" s="288"/>
      <c r="O3" s="286" t="s">
        <v>130</v>
      </c>
      <c r="P3" s="286"/>
      <c r="Q3" s="316" t="s">
        <v>131</v>
      </c>
      <c r="R3" s="316"/>
    </row>
    <row r="4" spans="5:18" x14ac:dyDescent="0.25">
      <c r="E4" s="347"/>
      <c r="F4" s="348"/>
      <c r="G4" s="278" t="s">
        <v>139</v>
      </c>
      <c r="H4" s="279"/>
      <c r="I4" s="294" t="s">
        <v>146</v>
      </c>
      <c r="J4" s="296"/>
      <c r="K4" s="347"/>
      <c r="L4" s="348"/>
      <c r="M4" s="347"/>
      <c r="N4" s="352"/>
      <c r="O4" s="352"/>
      <c r="P4" s="352"/>
      <c r="Q4" s="352"/>
      <c r="R4" s="348"/>
    </row>
    <row r="5" spans="5:18" x14ac:dyDescent="0.25">
      <c r="E5" s="345"/>
      <c r="F5" s="349"/>
      <c r="G5" s="23" t="s">
        <v>89</v>
      </c>
      <c r="H5" s="23" t="s">
        <v>81</v>
      </c>
      <c r="I5" s="12" t="s">
        <v>89</v>
      </c>
      <c r="J5" s="12" t="s">
        <v>82</v>
      </c>
      <c r="K5" s="345"/>
      <c r="L5" s="349"/>
      <c r="M5" s="345"/>
      <c r="N5" s="346"/>
      <c r="O5" s="346"/>
      <c r="P5" s="346"/>
      <c r="Q5" s="346"/>
      <c r="R5" s="349"/>
    </row>
    <row r="6" spans="5:18" x14ac:dyDescent="0.25">
      <c r="E6" s="345"/>
      <c r="F6" s="349"/>
      <c r="G6" s="46" t="s">
        <v>119</v>
      </c>
      <c r="H6" s="23">
        <v>45</v>
      </c>
      <c r="I6" s="61" t="s">
        <v>119</v>
      </c>
      <c r="J6" s="12">
        <v>16</v>
      </c>
      <c r="K6" s="345"/>
      <c r="L6" s="349"/>
      <c r="M6" s="345"/>
      <c r="N6" s="346"/>
      <c r="O6" s="346"/>
      <c r="P6" s="346"/>
      <c r="Q6" s="346"/>
      <c r="R6" s="349"/>
    </row>
    <row r="7" spans="5:18" x14ac:dyDescent="0.25">
      <c r="E7" s="345"/>
      <c r="F7" s="349"/>
      <c r="G7" s="46" t="s">
        <v>14</v>
      </c>
      <c r="H7" s="23" t="s">
        <v>10</v>
      </c>
      <c r="I7" s="61" t="s">
        <v>14</v>
      </c>
      <c r="J7" s="12" t="s">
        <v>10</v>
      </c>
      <c r="K7" s="345"/>
      <c r="L7" s="349"/>
      <c r="M7" s="345"/>
      <c r="N7" s="346"/>
      <c r="O7" s="346"/>
      <c r="P7" s="346"/>
      <c r="Q7" s="346"/>
      <c r="R7" s="349"/>
    </row>
    <row r="8" spans="5:18" x14ac:dyDescent="0.25">
      <c r="E8" s="345"/>
      <c r="F8" s="349"/>
      <c r="G8" s="46" t="s">
        <v>89</v>
      </c>
      <c r="H8" s="23"/>
      <c r="I8" s="61" t="s">
        <v>89</v>
      </c>
      <c r="J8" s="12"/>
      <c r="K8" s="345"/>
      <c r="L8" s="349"/>
      <c r="M8" s="345"/>
      <c r="N8" s="346"/>
      <c r="O8" s="346"/>
      <c r="P8" s="346"/>
      <c r="Q8" s="346"/>
      <c r="R8" s="349"/>
    </row>
    <row r="9" spans="5:18" x14ac:dyDescent="0.25">
      <c r="E9" s="345"/>
      <c r="F9" s="349"/>
      <c r="G9" s="46" t="s">
        <v>119</v>
      </c>
      <c r="H9" s="23"/>
      <c r="I9" s="61" t="s">
        <v>119</v>
      </c>
      <c r="J9" s="12"/>
      <c r="K9" s="345"/>
      <c r="L9" s="349"/>
      <c r="M9" s="345"/>
      <c r="N9" s="346"/>
      <c r="O9" s="346"/>
      <c r="P9" s="346"/>
      <c r="Q9" s="346"/>
      <c r="R9" s="349"/>
    </row>
    <row r="10" spans="5:18" x14ac:dyDescent="0.25">
      <c r="E10" s="345"/>
      <c r="F10" s="349"/>
      <c r="G10" s="46" t="s">
        <v>263</v>
      </c>
      <c r="H10" s="23"/>
      <c r="I10" s="61" t="s">
        <v>263</v>
      </c>
      <c r="J10" s="12"/>
      <c r="K10" s="345"/>
      <c r="L10" s="349"/>
      <c r="M10" s="345"/>
      <c r="N10" s="346"/>
      <c r="O10" s="346"/>
      <c r="P10" s="346"/>
      <c r="Q10" s="346"/>
      <c r="R10" s="349"/>
    </row>
    <row r="11" spans="5:18" x14ac:dyDescent="0.25">
      <c r="E11" s="345"/>
      <c r="F11" s="349"/>
      <c r="G11" s="284" t="s">
        <v>140</v>
      </c>
      <c r="H11" s="285"/>
      <c r="I11" s="291" t="s">
        <v>147</v>
      </c>
      <c r="J11" s="292"/>
      <c r="K11" s="345"/>
      <c r="L11" s="349"/>
      <c r="M11" s="345"/>
      <c r="N11" s="349"/>
      <c r="O11" s="292" t="s">
        <v>150</v>
      </c>
      <c r="P11" s="293"/>
      <c r="Q11" s="294" t="s">
        <v>151</v>
      </c>
      <c r="R11" s="296"/>
    </row>
    <row r="12" spans="5:18" x14ac:dyDescent="0.25">
      <c r="E12" s="345"/>
      <c r="F12" s="349"/>
      <c r="G12" s="22" t="s">
        <v>89</v>
      </c>
      <c r="H12" s="22" t="s">
        <v>81</v>
      </c>
      <c r="I12" s="33" t="s">
        <v>89</v>
      </c>
      <c r="J12" s="69" t="s">
        <v>80</v>
      </c>
      <c r="K12" s="345"/>
      <c r="L12" s="349"/>
      <c r="M12" s="345"/>
      <c r="N12" s="349"/>
      <c r="O12" s="66" t="s">
        <v>89</v>
      </c>
      <c r="P12" s="33" t="s">
        <v>77</v>
      </c>
      <c r="Q12" s="118" t="s">
        <v>89</v>
      </c>
      <c r="R12" s="118" t="s">
        <v>77</v>
      </c>
    </row>
    <row r="13" spans="5:18" x14ac:dyDescent="0.25">
      <c r="E13" s="345"/>
      <c r="F13" s="349"/>
      <c r="G13" s="67" t="s">
        <v>119</v>
      </c>
      <c r="H13" s="68">
        <v>45</v>
      </c>
      <c r="I13" s="41" t="s">
        <v>119</v>
      </c>
      <c r="J13" s="69">
        <v>35</v>
      </c>
      <c r="K13" s="345"/>
      <c r="L13" s="349"/>
      <c r="M13" s="345"/>
      <c r="N13" s="349"/>
      <c r="O13" s="41" t="s">
        <v>119</v>
      </c>
      <c r="P13" s="33">
        <v>100</v>
      </c>
      <c r="Q13" s="119" t="s">
        <v>119</v>
      </c>
      <c r="R13" s="118">
        <v>100</v>
      </c>
    </row>
    <row r="14" spans="5:18" x14ac:dyDescent="0.25">
      <c r="E14" s="345"/>
      <c r="F14" s="349"/>
      <c r="G14" s="67" t="s">
        <v>14</v>
      </c>
      <c r="H14" s="22" t="s">
        <v>10</v>
      </c>
      <c r="I14" s="41" t="s">
        <v>14</v>
      </c>
      <c r="J14" s="69" t="s">
        <v>10</v>
      </c>
      <c r="K14" s="345"/>
      <c r="L14" s="349"/>
      <c r="M14" s="345"/>
      <c r="N14" s="349"/>
      <c r="O14" s="41" t="s">
        <v>14</v>
      </c>
      <c r="P14" s="33" t="s">
        <v>10</v>
      </c>
      <c r="Q14" s="119" t="s">
        <v>14</v>
      </c>
      <c r="R14" s="118" t="s">
        <v>10</v>
      </c>
    </row>
    <row r="15" spans="5:18" x14ac:dyDescent="0.25">
      <c r="E15" s="345"/>
      <c r="F15" s="349"/>
      <c r="G15" s="67" t="s">
        <v>89</v>
      </c>
      <c r="H15" s="22"/>
      <c r="I15" s="41" t="s">
        <v>89</v>
      </c>
      <c r="J15" s="69"/>
      <c r="K15" s="345"/>
      <c r="L15" s="349"/>
      <c r="M15" s="345"/>
      <c r="N15" s="349"/>
      <c r="O15" s="41" t="s">
        <v>89</v>
      </c>
      <c r="P15" s="33"/>
      <c r="Q15" s="119" t="s">
        <v>89</v>
      </c>
      <c r="R15" s="118"/>
    </row>
    <row r="16" spans="5:18" x14ac:dyDescent="0.25">
      <c r="E16" s="345"/>
      <c r="F16" s="349"/>
      <c r="G16" s="67" t="s">
        <v>119</v>
      </c>
      <c r="H16" s="22"/>
      <c r="I16" s="41" t="s">
        <v>119</v>
      </c>
      <c r="J16" s="69"/>
      <c r="K16" s="345"/>
      <c r="L16" s="349"/>
      <c r="M16" s="345"/>
      <c r="N16" s="349"/>
      <c r="O16" s="41" t="s">
        <v>119</v>
      </c>
      <c r="P16" s="33"/>
      <c r="Q16" s="119" t="s">
        <v>119</v>
      </c>
      <c r="R16" s="118"/>
    </row>
    <row r="17" spans="5:18" x14ac:dyDescent="0.25">
      <c r="E17" s="350"/>
      <c r="F17" s="351"/>
      <c r="G17" s="67" t="s">
        <v>263</v>
      </c>
      <c r="H17" s="22"/>
      <c r="I17" s="41" t="s">
        <v>263</v>
      </c>
      <c r="J17" s="69"/>
      <c r="K17" s="350"/>
      <c r="L17" s="351"/>
      <c r="M17" s="350"/>
      <c r="N17" s="351"/>
      <c r="O17" s="41" t="s">
        <v>263</v>
      </c>
      <c r="P17" s="33"/>
      <c r="Q17" s="119" t="s">
        <v>263</v>
      </c>
      <c r="R17" s="118"/>
    </row>
    <row r="18" spans="5:18" x14ac:dyDescent="0.25">
      <c r="E18" s="283" t="s">
        <v>102</v>
      </c>
      <c r="F18" s="283"/>
      <c r="G18" s="343" t="s">
        <v>103</v>
      </c>
      <c r="H18" s="343"/>
      <c r="I18" s="286" t="s">
        <v>104</v>
      </c>
      <c r="J18" s="286"/>
      <c r="K18" s="302" t="s">
        <v>101</v>
      </c>
      <c r="L18" s="304"/>
      <c r="M18" s="342" t="s">
        <v>111</v>
      </c>
      <c r="N18" s="342"/>
      <c r="O18" s="286" t="s">
        <v>153</v>
      </c>
      <c r="P18" s="286"/>
      <c r="Q18" s="282" t="s">
        <v>156</v>
      </c>
      <c r="R18" s="282"/>
    </row>
    <row r="19" spans="5:18" x14ac:dyDescent="0.25">
      <c r="E19" s="17" t="s">
        <v>89</v>
      </c>
      <c r="F19" s="17" t="s">
        <v>95</v>
      </c>
      <c r="G19" s="58" t="s">
        <v>89</v>
      </c>
      <c r="H19" s="58" t="s">
        <v>96</v>
      </c>
      <c r="I19" s="12" t="s">
        <v>89</v>
      </c>
      <c r="J19" s="60" t="s">
        <v>115</v>
      </c>
      <c r="K19" s="27" t="s">
        <v>89</v>
      </c>
      <c r="L19" s="62" t="s">
        <v>114</v>
      </c>
      <c r="M19" s="31" t="s">
        <v>89</v>
      </c>
      <c r="N19" s="31" t="s">
        <v>79</v>
      </c>
      <c r="O19" s="12" t="s">
        <v>89</v>
      </c>
      <c r="P19" s="12" t="s">
        <v>92</v>
      </c>
      <c r="Q19" s="23" t="s">
        <v>89</v>
      </c>
      <c r="R19" s="23" t="s">
        <v>92</v>
      </c>
    </row>
    <row r="20" spans="5:18" x14ac:dyDescent="0.25">
      <c r="E20" s="57" t="s">
        <v>119</v>
      </c>
      <c r="F20" s="17">
        <v>15</v>
      </c>
      <c r="G20" s="59" t="s">
        <v>119</v>
      </c>
      <c r="H20" s="58">
        <v>55</v>
      </c>
      <c r="I20" s="61" t="s">
        <v>119</v>
      </c>
      <c r="J20" s="60">
        <v>55</v>
      </c>
      <c r="K20" s="40" t="s">
        <v>119</v>
      </c>
      <c r="L20" s="62">
        <v>63.4</v>
      </c>
      <c r="M20" s="44" t="s">
        <v>119</v>
      </c>
      <c r="N20" s="64">
        <v>137.6</v>
      </c>
      <c r="O20" s="61" t="s">
        <v>119</v>
      </c>
      <c r="P20" s="12">
        <v>28</v>
      </c>
      <c r="Q20" s="46" t="s">
        <v>119</v>
      </c>
      <c r="R20" s="23">
        <v>35</v>
      </c>
    </row>
    <row r="21" spans="5:18" x14ac:dyDescent="0.25">
      <c r="E21" s="57" t="s">
        <v>264</v>
      </c>
      <c r="F21" s="17" t="s">
        <v>10</v>
      </c>
      <c r="G21" s="59" t="s">
        <v>14</v>
      </c>
      <c r="H21" s="58" t="s">
        <v>10</v>
      </c>
      <c r="I21" s="61" t="s">
        <v>14</v>
      </c>
      <c r="J21" s="60" t="s">
        <v>10</v>
      </c>
      <c r="K21" s="40" t="s">
        <v>14</v>
      </c>
      <c r="L21" s="62" t="s">
        <v>10</v>
      </c>
      <c r="M21" s="44" t="s">
        <v>14</v>
      </c>
      <c r="N21" s="31" t="s">
        <v>10</v>
      </c>
      <c r="O21" s="61" t="s">
        <v>14</v>
      </c>
      <c r="P21" s="12" t="s">
        <v>10</v>
      </c>
      <c r="Q21" s="46" t="s">
        <v>14</v>
      </c>
      <c r="R21" s="23" t="s">
        <v>10</v>
      </c>
    </row>
    <row r="22" spans="5:18" x14ac:dyDescent="0.25">
      <c r="E22" s="57" t="s">
        <v>89</v>
      </c>
      <c r="F22" s="17"/>
      <c r="G22" s="59" t="s">
        <v>89</v>
      </c>
      <c r="H22" s="58"/>
      <c r="I22" s="61" t="s">
        <v>89</v>
      </c>
      <c r="J22" s="60"/>
      <c r="K22" s="40" t="s">
        <v>89</v>
      </c>
      <c r="L22" s="63"/>
      <c r="M22" s="44" t="s">
        <v>89</v>
      </c>
      <c r="N22" s="65"/>
      <c r="O22" s="61" t="s">
        <v>89</v>
      </c>
      <c r="P22" s="12"/>
      <c r="Q22" s="46" t="s">
        <v>89</v>
      </c>
      <c r="R22" s="23"/>
    </row>
    <row r="23" spans="5:18" x14ac:dyDescent="0.25">
      <c r="E23" s="57" t="s">
        <v>119</v>
      </c>
      <c r="F23" s="17"/>
      <c r="G23" s="59" t="s">
        <v>119</v>
      </c>
      <c r="H23" s="58"/>
      <c r="I23" s="61" t="s">
        <v>119</v>
      </c>
      <c r="J23" s="60"/>
      <c r="K23" s="40" t="s">
        <v>119</v>
      </c>
      <c r="L23" s="63"/>
      <c r="M23" s="44" t="s">
        <v>119</v>
      </c>
      <c r="N23" s="65"/>
      <c r="O23" s="61" t="s">
        <v>119</v>
      </c>
      <c r="P23" s="12"/>
      <c r="Q23" s="46" t="s">
        <v>119</v>
      </c>
      <c r="R23" s="23"/>
    </row>
    <row r="24" spans="5:18" x14ac:dyDescent="0.25">
      <c r="E24" s="57" t="s">
        <v>263</v>
      </c>
      <c r="F24" s="17"/>
      <c r="G24" s="59" t="s">
        <v>263</v>
      </c>
      <c r="H24" s="58"/>
      <c r="I24" s="61" t="s">
        <v>263</v>
      </c>
      <c r="J24" s="60"/>
      <c r="K24" s="40" t="s">
        <v>263</v>
      </c>
      <c r="L24" s="63"/>
      <c r="M24" s="44" t="s">
        <v>263</v>
      </c>
      <c r="N24" s="65"/>
      <c r="O24" s="61" t="s">
        <v>263</v>
      </c>
      <c r="P24" s="12"/>
      <c r="Q24" s="46" t="s">
        <v>263</v>
      </c>
      <c r="R24" s="23"/>
    </row>
    <row r="25" spans="5:18" x14ac:dyDescent="0.25">
      <c r="E25" s="288" t="s">
        <v>144</v>
      </c>
      <c r="F25" s="288"/>
      <c r="G25" s="316" t="s">
        <v>141</v>
      </c>
      <c r="H25" s="316"/>
      <c r="I25" s="282" t="s">
        <v>106</v>
      </c>
      <c r="J25" s="282"/>
      <c r="K25" s="275" t="s">
        <v>107</v>
      </c>
      <c r="L25" s="275"/>
      <c r="M25" s="347"/>
      <c r="N25" s="348"/>
      <c r="O25" s="287" t="s">
        <v>152</v>
      </c>
      <c r="P25" s="287"/>
      <c r="Q25" s="286" t="s">
        <v>157</v>
      </c>
      <c r="R25" s="286"/>
    </row>
    <row r="26" spans="5:18" ht="30" x14ac:dyDescent="0.25">
      <c r="E26" s="31" t="s">
        <v>89</v>
      </c>
      <c r="F26" s="31" t="s">
        <v>82</v>
      </c>
      <c r="G26" s="27" t="s">
        <v>89</v>
      </c>
      <c r="H26" s="27" t="s">
        <v>82</v>
      </c>
      <c r="I26" s="23" t="s">
        <v>89</v>
      </c>
      <c r="J26" s="70" t="s">
        <v>116</v>
      </c>
      <c r="K26" s="22" t="s">
        <v>89</v>
      </c>
      <c r="L26" s="71" t="s">
        <v>83</v>
      </c>
      <c r="M26" s="345"/>
      <c r="N26" s="349"/>
      <c r="O26" s="33" t="s">
        <v>89</v>
      </c>
      <c r="P26" s="33" t="s">
        <v>0</v>
      </c>
      <c r="Q26" s="12" t="s">
        <v>89</v>
      </c>
      <c r="R26" s="12" t="s">
        <v>0</v>
      </c>
    </row>
    <row r="27" spans="5:18" x14ac:dyDescent="0.25">
      <c r="E27" s="44" t="s">
        <v>119</v>
      </c>
      <c r="F27" s="31">
        <v>30</v>
      </c>
      <c r="G27" s="40" t="s">
        <v>119</v>
      </c>
      <c r="H27" s="27">
        <v>35</v>
      </c>
      <c r="I27" s="46" t="s">
        <v>119</v>
      </c>
      <c r="J27" s="70">
        <v>11</v>
      </c>
      <c r="K27" s="67" t="s">
        <v>119</v>
      </c>
      <c r="L27" s="71">
        <v>23</v>
      </c>
      <c r="M27" s="345"/>
      <c r="N27" s="349"/>
      <c r="O27" s="41" t="s">
        <v>119</v>
      </c>
      <c r="P27" s="34"/>
      <c r="Q27" s="61" t="s">
        <v>119</v>
      </c>
      <c r="R27" s="13"/>
    </row>
    <row r="28" spans="5:18" ht="16.5" customHeight="1" x14ac:dyDescent="0.25">
      <c r="E28" s="44" t="s">
        <v>14</v>
      </c>
      <c r="F28" s="31" t="s">
        <v>10</v>
      </c>
      <c r="G28" s="40" t="s">
        <v>14</v>
      </c>
      <c r="H28" s="27" t="s">
        <v>10</v>
      </c>
      <c r="I28" s="46" t="s">
        <v>14</v>
      </c>
      <c r="J28" s="70" t="s">
        <v>10</v>
      </c>
      <c r="K28" s="67" t="s">
        <v>14</v>
      </c>
      <c r="L28" s="71" t="s">
        <v>10</v>
      </c>
      <c r="M28" s="345"/>
      <c r="N28" s="349"/>
      <c r="O28" s="41" t="s">
        <v>14</v>
      </c>
      <c r="P28" s="34" t="s">
        <v>10</v>
      </c>
      <c r="Q28" s="61" t="s">
        <v>14</v>
      </c>
      <c r="R28" s="13" t="s">
        <v>10</v>
      </c>
    </row>
    <row r="29" spans="5:18" ht="16.5" customHeight="1" x14ac:dyDescent="0.25">
      <c r="E29" s="44" t="s">
        <v>89</v>
      </c>
      <c r="F29" s="31"/>
      <c r="G29" s="40" t="s">
        <v>89</v>
      </c>
      <c r="H29" s="27"/>
      <c r="I29" s="46" t="s">
        <v>89</v>
      </c>
      <c r="J29" s="70"/>
      <c r="K29" s="67" t="s">
        <v>89</v>
      </c>
      <c r="L29" s="71"/>
      <c r="M29" s="345"/>
      <c r="N29" s="349"/>
      <c r="O29" s="41" t="s">
        <v>89</v>
      </c>
      <c r="P29" s="34"/>
      <c r="Q29" s="61" t="s">
        <v>89</v>
      </c>
      <c r="R29" s="13"/>
    </row>
    <row r="30" spans="5:18" ht="16.5" customHeight="1" x14ac:dyDescent="0.25">
      <c r="E30" s="44" t="s">
        <v>119</v>
      </c>
      <c r="F30" s="31"/>
      <c r="G30" s="40" t="s">
        <v>119</v>
      </c>
      <c r="H30" s="27"/>
      <c r="I30" s="46" t="s">
        <v>119</v>
      </c>
      <c r="J30" s="70"/>
      <c r="K30" s="67" t="s">
        <v>119</v>
      </c>
      <c r="L30" s="71"/>
      <c r="M30" s="345"/>
      <c r="N30" s="349"/>
      <c r="O30" s="41" t="s">
        <v>119</v>
      </c>
      <c r="P30" s="34"/>
      <c r="Q30" s="61" t="s">
        <v>119</v>
      </c>
      <c r="R30" s="13"/>
    </row>
    <row r="31" spans="5:18" ht="16.5" customHeight="1" x14ac:dyDescent="0.25">
      <c r="E31" s="44" t="s">
        <v>263</v>
      </c>
      <c r="F31" s="31"/>
      <c r="G31" s="40" t="s">
        <v>263</v>
      </c>
      <c r="H31" s="27"/>
      <c r="I31" s="46" t="s">
        <v>263</v>
      </c>
      <c r="J31" s="70"/>
      <c r="K31" s="67" t="s">
        <v>263</v>
      </c>
      <c r="L31" s="71"/>
      <c r="M31" s="345"/>
      <c r="N31" s="349"/>
      <c r="O31" s="41" t="s">
        <v>263</v>
      </c>
      <c r="P31" s="34"/>
      <c r="Q31" s="61" t="s">
        <v>263</v>
      </c>
      <c r="R31" s="13"/>
    </row>
    <row r="32" spans="5:18" x14ac:dyDescent="0.25">
      <c r="E32" s="282" t="s">
        <v>145</v>
      </c>
      <c r="F32" s="282"/>
      <c r="G32" s="286" t="s">
        <v>142</v>
      </c>
      <c r="H32" s="286"/>
      <c r="I32" s="316" t="s">
        <v>148</v>
      </c>
      <c r="J32" s="316"/>
      <c r="K32" s="344" t="s">
        <v>108</v>
      </c>
      <c r="L32" s="344"/>
      <c r="M32" s="345"/>
      <c r="N32" s="349"/>
      <c r="O32" s="282" t="s">
        <v>154</v>
      </c>
      <c r="P32" s="282"/>
      <c r="Q32" s="275" t="s">
        <v>158</v>
      </c>
      <c r="R32" s="275"/>
    </row>
    <row r="33" spans="5:18" x14ac:dyDescent="0.25">
      <c r="E33" s="23" t="s">
        <v>89</v>
      </c>
      <c r="F33" s="23" t="s">
        <v>77</v>
      </c>
      <c r="G33" s="12" t="s">
        <v>89</v>
      </c>
      <c r="H33" s="13" t="s">
        <v>10</v>
      </c>
      <c r="I33" s="27" t="s">
        <v>89</v>
      </c>
      <c r="J33" s="28" t="s">
        <v>10</v>
      </c>
      <c r="K33" s="42" t="s">
        <v>89</v>
      </c>
      <c r="L33" s="43" t="s">
        <v>10</v>
      </c>
      <c r="M33" s="345"/>
      <c r="N33" s="349"/>
      <c r="O33" s="23" t="s">
        <v>89</v>
      </c>
      <c r="P33" s="23" t="s">
        <v>78</v>
      </c>
      <c r="Q33" s="22" t="s">
        <v>89</v>
      </c>
      <c r="R33" s="22" t="s">
        <v>78</v>
      </c>
    </row>
    <row r="34" spans="5:18" x14ac:dyDescent="0.25">
      <c r="E34" s="46" t="s">
        <v>119</v>
      </c>
      <c r="F34" s="23">
        <v>48</v>
      </c>
      <c r="G34" s="61" t="s">
        <v>119</v>
      </c>
      <c r="H34" s="13" t="s">
        <v>10</v>
      </c>
      <c r="I34" s="40" t="s">
        <v>119</v>
      </c>
      <c r="J34" s="28" t="s">
        <v>10</v>
      </c>
      <c r="K34" s="72" t="s">
        <v>119</v>
      </c>
      <c r="L34" s="43" t="s">
        <v>10</v>
      </c>
      <c r="M34" s="345"/>
      <c r="N34" s="349"/>
      <c r="O34" s="46" t="s">
        <v>119</v>
      </c>
      <c r="P34" s="23">
        <v>62</v>
      </c>
      <c r="Q34" s="67" t="s">
        <v>119</v>
      </c>
      <c r="R34" s="22">
        <v>62</v>
      </c>
    </row>
    <row r="35" spans="5:18" x14ac:dyDescent="0.25">
      <c r="E35" s="46" t="s">
        <v>14</v>
      </c>
      <c r="F35" s="23" t="s">
        <v>10</v>
      </c>
      <c r="G35" s="61" t="s">
        <v>14</v>
      </c>
      <c r="H35" s="13" t="s">
        <v>10</v>
      </c>
      <c r="I35" s="40" t="s">
        <v>14</v>
      </c>
      <c r="J35" s="28" t="s">
        <v>10</v>
      </c>
      <c r="K35" s="72" t="s">
        <v>14</v>
      </c>
      <c r="L35" s="43" t="s">
        <v>10</v>
      </c>
      <c r="M35" s="345"/>
      <c r="N35" s="349"/>
      <c r="O35" s="46" t="s">
        <v>14</v>
      </c>
      <c r="P35" s="23" t="s">
        <v>10</v>
      </c>
      <c r="Q35" s="67" t="s">
        <v>14</v>
      </c>
      <c r="R35" s="22" t="s">
        <v>10</v>
      </c>
    </row>
    <row r="36" spans="5:18" x14ac:dyDescent="0.25">
      <c r="E36" s="46" t="s">
        <v>89</v>
      </c>
      <c r="F36" s="23"/>
      <c r="G36" s="61" t="s">
        <v>89</v>
      </c>
      <c r="H36" s="13"/>
      <c r="I36" s="40" t="s">
        <v>89</v>
      </c>
      <c r="J36" s="28"/>
      <c r="K36" s="72" t="s">
        <v>89</v>
      </c>
      <c r="L36" s="43"/>
      <c r="M36" s="345"/>
      <c r="N36" s="349"/>
      <c r="O36" s="46" t="s">
        <v>89</v>
      </c>
      <c r="P36" s="23"/>
      <c r="Q36" s="67" t="s">
        <v>89</v>
      </c>
      <c r="R36" s="22"/>
    </row>
    <row r="37" spans="5:18" x14ac:dyDescent="0.25">
      <c r="E37" s="46" t="s">
        <v>119</v>
      </c>
      <c r="F37" s="23"/>
      <c r="G37" s="61" t="s">
        <v>119</v>
      </c>
      <c r="H37" s="13"/>
      <c r="I37" s="40" t="s">
        <v>119</v>
      </c>
      <c r="J37" s="28"/>
      <c r="K37" s="72" t="s">
        <v>119</v>
      </c>
      <c r="L37" s="43"/>
      <c r="M37" s="345"/>
      <c r="N37" s="349"/>
      <c r="O37" s="46" t="s">
        <v>119</v>
      </c>
      <c r="P37" s="23"/>
      <c r="Q37" s="67" t="s">
        <v>119</v>
      </c>
      <c r="R37" s="22"/>
    </row>
    <row r="38" spans="5:18" x14ac:dyDescent="0.25">
      <c r="E38" s="46" t="s">
        <v>263</v>
      </c>
      <c r="F38" s="23"/>
      <c r="G38" s="61" t="s">
        <v>263</v>
      </c>
      <c r="H38" s="13"/>
      <c r="I38" s="40" t="s">
        <v>263</v>
      </c>
      <c r="J38" s="28"/>
      <c r="K38" s="72" t="s">
        <v>263</v>
      </c>
      <c r="L38" s="43"/>
      <c r="M38" s="345"/>
      <c r="N38" s="349"/>
      <c r="O38" s="46" t="s">
        <v>263</v>
      </c>
      <c r="P38" s="23"/>
      <c r="Q38" s="67" t="s">
        <v>263</v>
      </c>
      <c r="R38" s="22"/>
    </row>
    <row r="39" spans="5:18" x14ac:dyDescent="0.25">
      <c r="E39" s="287" t="s">
        <v>112</v>
      </c>
      <c r="F39" s="287"/>
      <c r="G39" s="275" t="s">
        <v>143</v>
      </c>
      <c r="H39" s="275"/>
      <c r="I39" s="282" t="s">
        <v>149</v>
      </c>
      <c r="J39" s="282"/>
      <c r="K39" s="286" t="s">
        <v>109</v>
      </c>
      <c r="L39" s="286"/>
      <c r="M39" s="345"/>
      <c r="N39" s="349"/>
      <c r="O39" s="288" t="s">
        <v>155</v>
      </c>
      <c r="P39" s="288"/>
      <c r="Q39" s="287" t="s">
        <v>159</v>
      </c>
      <c r="R39" s="287"/>
    </row>
    <row r="40" spans="5:18" x14ac:dyDescent="0.25">
      <c r="E40" s="33" t="s">
        <v>89</v>
      </c>
      <c r="F40" s="33" t="s">
        <v>77</v>
      </c>
      <c r="G40" s="22" t="s">
        <v>89</v>
      </c>
      <c r="H40" s="21" t="s">
        <v>10</v>
      </c>
      <c r="I40" s="23" t="s">
        <v>89</v>
      </c>
      <c r="J40" s="24" t="s">
        <v>10</v>
      </c>
      <c r="K40" s="12" t="s">
        <v>89</v>
      </c>
      <c r="L40" s="13" t="s">
        <v>10</v>
      </c>
      <c r="M40" s="345"/>
      <c r="N40" s="349"/>
      <c r="O40" s="31" t="s">
        <v>89</v>
      </c>
      <c r="P40" s="31" t="s">
        <v>77</v>
      </c>
      <c r="Q40" s="33" t="s">
        <v>89</v>
      </c>
      <c r="R40" s="33" t="s">
        <v>77</v>
      </c>
    </row>
    <row r="41" spans="5:18" x14ac:dyDescent="0.25">
      <c r="E41" s="41" t="s">
        <v>119</v>
      </c>
      <c r="F41" s="33">
        <v>50</v>
      </c>
      <c r="G41" s="67" t="s">
        <v>119</v>
      </c>
      <c r="H41" s="21" t="s">
        <v>10</v>
      </c>
      <c r="I41" s="46" t="s">
        <v>119</v>
      </c>
      <c r="J41" s="24" t="s">
        <v>10</v>
      </c>
      <c r="K41" s="61" t="s">
        <v>119</v>
      </c>
      <c r="L41" s="13" t="s">
        <v>10</v>
      </c>
      <c r="M41" s="345"/>
      <c r="N41" s="349"/>
      <c r="O41" s="44" t="s">
        <v>119</v>
      </c>
      <c r="P41" s="31">
        <v>48</v>
      </c>
      <c r="Q41" s="41" t="s">
        <v>119</v>
      </c>
      <c r="R41" s="33">
        <v>48</v>
      </c>
    </row>
    <row r="42" spans="5:18" x14ac:dyDescent="0.25">
      <c r="E42" s="41" t="s">
        <v>14</v>
      </c>
      <c r="F42" s="33" t="s">
        <v>10</v>
      </c>
      <c r="G42" s="67" t="s">
        <v>14</v>
      </c>
      <c r="H42" s="21" t="s">
        <v>10</v>
      </c>
      <c r="I42" s="46" t="s">
        <v>14</v>
      </c>
      <c r="J42" s="24" t="s">
        <v>10</v>
      </c>
      <c r="K42" s="61" t="s">
        <v>14</v>
      </c>
      <c r="L42" s="13" t="s">
        <v>10</v>
      </c>
      <c r="M42" s="345"/>
      <c r="N42" s="349"/>
      <c r="O42" s="44" t="s">
        <v>14</v>
      </c>
      <c r="P42" s="31" t="s">
        <v>10</v>
      </c>
      <c r="Q42" s="41" t="s">
        <v>14</v>
      </c>
      <c r="R42" s="33" t="s">
        <v>10</v>
      </c>
    </row>
    <row r="43" spans="5:18" x14ac:dyDescent="0.25">
      <c r="E43" s="41" t="s">
        <v>89</v>
      </c>
      <c r="F43" s="33"/>
      <c r="G43" s="67" t="s">
        <v>89</v>
      </c>
      <c r="H43" s="21"/>
      <c r="I43" s="46" t="s">
        <v>89</v>
      </c>
      <c r="J43" s="24"/>
      <c r="K43" s="61" t="s">
        <v>89</v>
      </c>
      <c r="L43" s="13"/>
      <c r="M43" s="345"/>
      <c r="N43" s="349"/>
      <c r="O43" s="44" t="s">
        <v>89</v>
      </c>
      <c r="P43" s="31"/>
      <c r="Q43" s="41" t="s">
        <v>89</v>
      </c>
      <c r="R43" s="33"/>
    </row>
    <row r="44" spans="5:18" x14ac:dyDescent="0.25">
      <c r="E44" s="41" t="s">
        <v>119</v>
      </c>
      <c r="F44" s="33"/>
      <c r="G44" s="67" t="s">
        <v>119</v>
      </c>
      <c r="H44" s="21"/>
      <c r="I44" s="46" t="s">
        <v>119</v>
      </c>
      <c r="J44" s="24"/>
      <c r="K44" s="61" t="s">
        <v>119</v>
      </c>
      <c r="L44" s="13"/>
      <c r="M44" s="345"/>
      <c r="N44" s="349"/>
      <c r="O44" s="44" t="s">
        <v>119</v>
      </c>
      <c r="P44" s="31"/>
      <c r="Q44" s="41" t="s">
        <v>119</v>
      </c>
      <c r="R44" s="33"/>
    </row>
    <row r="45" spans="5:18" x14ac:dyDescent="0.25">
      <c r="E45" s="41" t="s">
        <v>263</v>
      </c>
      <c r="F45" s="33"/>
      <c r="G45" s="67" t="s">
        <v>263</v>
      </c>
      <c r="H45" s="21"/>
      <c r="I45" s="46" t="s">
        <v>263</v>
      </c>
      <c r="J45" s="24"/>
      <c r="K45" s="61" t="s">
        <v>263</v>
      </c>
      <c r="L45" s="13"/>
      <c r="M45" s="350"/>
      <c r="N45" s="351"/>
      <c r="O45" s="44" t="s">
        <v>263</v>
      </c>
      <c r="P45" s="31"/>
      <c r="Q45" s="41" t="s">
        <v>263</v>
      </c>
      <c r="R45" s="33"/>
    </row>
    <row r="48" spans="5:18" x14ac:dyDescent="0.25">
      <c r="E48" s="290" t="s">
        <v>266</v>
      </c>
      <c r="F48" s="290"/>
      <c r="G48" s="290"/>
      <c r="H48" s="290"/>
      <c r="I48" s="290"/>
      <c r="J48" s="290"/>
      <c r="K48" s="290"/>
      <c r="L48" s="290"/>
      <c r="M48" s="290"/>
      <c r="N48" s="290"/>
      <c r="O48" s="290"/>
      <c r="P48" s="290"/>
      <c r="Q48" s="290"/>
      <c r="R48" s="290"/>
    </row>
    <row r="49" spans="5:20" x14ac:dyDescent="0.25">
      <c r="E49" s="290" t="s">
        <v>132</v>
      </c>
      <c r="F49" s="290"/>
      <c r="G49" s="290" t="s">
        <v>133</v>
      </c>
      <c r="H49" s="290"/>
      <c r="I49" s="290" t="s">
        <v>134</v>
      </c>
      <c r="J49" s="290"/>
      <c r="K49" s="317" t="s">
        <v>135</v>
      </c>
      <c r="L49" s="341"/>
      <c r="M49" s="290" t="s">
        <v>136</v>
      </c>
      <c r="N49" s="290"/>
      <c r="O49" s="290" t="s">
        <v>137</v>
      </c>
      <c r="P49" s="290"/>
      <c r="Q49" s="290" t="s">
        <v>138</v>
      </c>
      <c r="R49" s="290"/>
      <c r="S49" s="5"/>
      <c r="T49" s="5"/>
    </row>
    <row r="50" spans="5:20" x14ac:dyDescent="0.25">
      <c r="E50" s="286" t="s">
        <v>160</v>
      </c>
      <c r="F50" s="286"/>
      <c r="G50" s="288" t="s">
        <v>161</v>
      </c>
      <c r="H50" s="288"/>
      <c r="I50" s="316" t="s">
        <v>163</v>
      </c>
      <c r="J50" s="316"/>
      <c r="K50" s="294" t="s">
        <v>164</v>
      </c>
      <c r="L50" s="296"/>
      <c r="M50" s="275" t="s">
        <v>165</v>
      </c>
      <c r="N50" s="275"/>
      <c r="O50" s="344" t="s">
        <v>167</v>
      </c>
      <c r="P50" s="344"/>
      <c r="Q50" s="282" t="s">
        <v>171</v>
      </c>
      <c r="R50" s="282"/>
      <c r="S50" s="5"/>
      <c r="T50" s="5"/>
    </row>
    <row r="51" spans="5:20" x14ac:dyDescent="0.25">
      <c r="E51" s="118" t="s">
        <v>89</v>
      </c>
      <c r="F51" s="13"/>
      <c r="G51" s="31" t="s">
        <v>89</v>
      </c>
      <c r="H51" s="31" t="s">
        <v>91</v>
      </c>
      <c r="I51" s="126" t="s">
        <v>89</v>
      </c>
      <c r="J51" s="126" t="s">
        <v>91</v>
      </c>
      <c r="K51" s="12" t="s">
        <v>89</v>
      </c>
      <c r="L51" s="12" t="s">
        <v>66</v>
      </c>
      <c r="M51" s="22" t="s">
        <v>89</v>
      </c>
      <c r="N51" s="22" t="s">
        <v>66</v>
      </c>
      <c r="O51" s="42" t="s">
        <v>89</v>
      </c>
      <c r="P51" s="42" t="s">
        <v>92</v>
      </c>
      <c r="Q51" s="122" t="s">
        <v>89</v>
      </c>
      <c r="R51" s="122" t="s">
        <v>92</v>
      </c>
      <c r="S51" s="3"/>
      <c r="T51" s="3"/>
    </row>
    <row r="52" spans="5:20" x14ac:dyDescent="0.25">
      <c r="E52" s="119" t="s">
        <v>119</v>
      </c>
      <c r="F52" s="13"/>
      <c r="G52" s="44" t="s">
        <v>119</v>
      </c>
      <c r="H52" s="64">
        <v>13.5</v>
      </c>
      <c r="I52" s="124" t="s">
        <v>119</v>
      </c>
      <c r="J52" s="127">
        <v>29</v>
      </c>
      <c r="K52" s="61" t="s">
        <v>119</v>
      </c>
      <c r="L52" s="77">
        <v>830</v>
      </c>
      <c r="M52" s="67" t="s">
        <v>119</v>
      </c>
      <c r="N52" s="22">
        <v>830</v>
      </c>
      <c r="O52" s="72" t="s">
        <v>119</v>
      </c>
      <c r="P52" s="42">
        <v>25</v>
      </c>
      <c r="Q52" s="123" t="s">
        <v>119</v>
      </c>
      <c r="R52" s="122">
        <v>25</v>
      </c>
      <c r="S52" s="3"/>
      <c r="T52" s="3"/>
    </row>
    <row r="53" spans="5:20" x14ac:dyDescent="0.25">
      <c r="E53" s="119" t="s">
        <v>14</v>
      </c>
      <c r="F53" s="142" t="s">
        <v>10</v>
      </c>
      <c r="G53" s="44" t="s">
        <v>14</v>
      </c>
      <c r="H53" s="31" t="s">
        <v>10</v>
      </c>
      <c r="I53" s="124" t="s">
        <v>14</v>
      </c>
      <c r="J53" s="126" t="s">
        <v>10</v>
      </c>
      <c r="K53" s="61" t="s">
        <v>14</v>
      </c>
      <c r="L53" s="78" t="s">
        <v>10</v>
      </c>
      <c r="M53" s="67" t="s">
        <v>14</v>
      </c>
      <c r="N53" s="79" t="s">
        <v>10</v>
      </c>
      <c r="O53" s="72" t="s">
        <v>14</v>
      </c>
      <c r="P53" s="42" t="s">
        <v>10</v>
      </c>
      <c r="Q53" s="123" t="s">
        <v>14</v>
      </c>
      <c r="R53" s="122" t="s">
        <v>10</v>
      </c>
      <c r="S53" s="6"/>
      <c r="T53" s="6"/>
    </row>
    <row r="54" spans="5:20" x14ac:dyDescent="0.25">
      <c r="E54" s="118" t="s">
        <v>89</v>
      </c>
      <c r="F54" s="13"/>
      <c r="G54" s="31" t="s">
        <v>89</v>
      </c>
      <c r="H54" s="31"/>
      <c r="I54" s="126" t="s">
        <v>89</v>
      </c>
      <c r="J54" s="126"/>
      <c r="K54" s="12" t="s">
        <v>89</v>
      </c>
      <c r="L54" s="12"/>
      <c r="M54" s="22" t="s">
        <v>89</v>
      </c>
      <c r="N54" s="22"/>
      <c r="O54" s="42" t="s">
        <v>89</v>
      </c>
      <c r="P54" s="42"/>
      <c r="Q54" s="122" t="s">
        <v>89</v>
      </c>
      <c r="R54" s="122"/>
      <c r="S54" s="9"/>
      <c r="T54" s="9"/>
    </row>
    <row r="55" spans="5:20" x14ac:dyDescent="0.25">
      <c r="E55" s="119" t="s">
        <v>119</v>
      </c>
      <c r="F55" s="13"/>
      <c r="G55" s="44" t="s">
        <v>119</v>
      </c>
      <c r="H55" s="31"/>
      <c r="I55" s="124" t="s">
        <v>119</v>
      </c>
      <c r="J55" s="126"/>
      <c r="K55" s="61" t="s">
        <v>119</v>
      </c>
      <c r="L55" s="12"/>
      <c r="M55" s="67" t="s">
        <v>119</v>
      </c>
      <c r="N55" s="22"/>
      <c r="O55" s="72" t="s">
        <v>119</v>
      </c>
      <c r="P55" s="42"/>
      <c r="Q55" s="123" t="s">
        <v>119</v>
      </c>
      <c r="R55" s="122"/>
      <c r="S55" s="9"/>
      <c r="T55" s="9"/>
    </row>
    <row r="56" spans="5:20" x14ac:dyDescent="0.25">
      <c r="E56" s="119" t="s">
        <v>263</v>
      </c>
      <c r="F56" s="13"/>
      <c r="G56" s="44" t="s">
        <v>263</v>
      </c>
      <c r="H56" s="31"/>
      <c r="I56" s="124" t="s">
        <v>263</v>
      </c>
      <c r="J56" s="126"/>
      <c r="K56" s="61" t="s">
        <v>263</v>
      </c>
      <c r="L56" s="12"/>
      <c r="M56" s="67" t="s">
        <v>263</v>
      </c>
      <c r="N56" s="22"/>
      <c r="O56" s="72" t="s">
        <v>263</v>
      </c>
      <c r="P56" s="42"/>
      <c r="Q56" s="123" t="s">
        <v>263</v>
      </c>
      <c r="R56" s="122"/>
      <c r="S56" s="9"/>
      <c r="T56" s="9"/>
    </row>
    <row r="57" spans="5:20" x14ac:dyDescent="0.25">
      <c r="E57" s="56"/>
      <c r="F57" s="5"/>
      <c r="G57" s="5"/>
      <c r="H57" s="5"/>
      <c r="I57" s="5"/>
      <c r="J57" s="5"/>
      <c r="K57" s="5"/>
      <c r="L57" s="5"/>
      <c r="M57" s="354" t="s">
        <v>166</v>
      </c>
      <c r="N57" s="355"/>
      <c r="O57" s="285" t="s">
        <v>168</v>
      </c>
      <c r="P57" s="275"/>
      <c r="Q57" s="316" t="s">
        <v>172</v>
      </c>
      <c r="R57" s="316"/>
      <c r="S57" s="5"/>
      <c r="T57" s="5"/>
    </row>
    <row r="58" spans="5:20" x14ac:dyDescent="0.25">
      <c r="E58" s="56"/>
      <c r="F58" s="5"/>
      <c r="H58" s="5"/>
      <c r="I58" s="5"/>
      <c r="J58" s="5"/>
      <c r="K58" s="5"/>
      <c r="L58" s="5"/>
      <c r="M58" s="17" t="s">
        <v>89</v>
      </c>
      <c r="N58" s="17" t="s">
        <v>66</v>
      </c>
      <c r="O58" s="79" t="s">
        <v>89</v>
      </c>
      <c r="P58" s="22" t="s">
        <v>90</v>
      </c>
      <c r="Q58" s="27" t="s">
        <v>89</v>
      </c>
      <c r="R58" s="27" t="s">
        <v>92</v>
      </c>
      <c r="S58" s="3"/>
      <c r="T58" s="3"/>
    </row>
    <row r="59" spans="5:20" x14ac:dyDescent="0.25">
      <c r="E59" s="56"/>
      <c r="F59" s="5"/>
      <c r="G59" s="5"/>
      <c r="H59" s="5"/>
      <c r="I59" s="5"/>
      <c r="J59" s="5"/>
      <c r="K59" s="5"/>
      <c r="L59" s="5"/>
      <c r="M59" s="57" t="s">
        <v>119</v>
      </c>
      <c r="N59" s="17">
        <f>2500-L52-N52</f>
        <v>840</v>
      </c>
      <c r="O59" s="67" t="s">
        <v>119</v>
      </c>
      <c r="P59" s="22">
        <v>17</v>
      </c>
      <c r="Q59" s="40" t="s">
        <v>119</v>
      </c>
      <c r="R59" s="27">
        <v>60</v>
      </c>
      <c r="S59" s="3"/>
      <c r="T59" s="3"/>
    </row>
    <row r="60" spans="5:20" x14ac:dyDescent="0.25">
      <c r="E60" s="56"/>
      <c r="F60" s="5"/>
      <c r="G60" s="5"/>
      <c r="H60" s="5"/>
      <c r="I60" s="5"/>
      <c r="J60" s="5"/>
      <c r="K60" s="5"/>
      <c r="L60" s="5"/>
      <c r="M60" s="16" t="s">
        <v>14</v>
      </c>
      <c r="N60" s="83" t="s">
        <v>10</v>
      </c>
      <c r="O60" s="19" t="s">
        <v>14</v>
      </c>
      <c r="P60" s="80" t="s">
        <v>10</v>
      </c>
      <c r="Q60" s="26" t="s">
        <v>14</v>
      </c>
      <c r="R60" s="81" t="s">
        <v>10</v>
      </c>
      <c r="S60" s="6"/>
      <c r="T60" s="6"/>
    </row>
    <row r="61" spans="5:20" x14ac:dyDescent="0.25">
      <c r="E61" s="56"/>
      <c r="F61" s="5"/>
      <c r="G61" s="5"/>
      <c r="H61" s="5"/>
      <c r="I61" s="5"/>
      <c r="J61" s="5"/>
      <c r="K61" s="5"/>
      <c r="L61" s="5"/>
      <c r="M61" s="17" t="s">
        <v>89</v>
      </c>
      <c r="N61" s="17"/>
      <c r="O61" s="22" t="s">
        <v>89</v>
      </c>
      <c r="P61" s="22"/>
      <c r="Q61" s="27" t="s">
        <v>89</v>
      </c>
      <c r="R61" s="27"/>
      <c r="S61" s="9"/>
      <c r="T61" s="9"/>
    </row>
    <row r="62" spans="5:20" x14ac:dyDescent="0.25">
      <c r="E62" s="56"/>
      <c r="F62" s="5"/>
      <c r="G62" s="5"/>
      <c r="H62" s="5"/>
      <c r="I62" s="5"/>
      <c r="J62" s="5"/>
      <c r="K62" s="5"/>
      <c r="L62" s="5"/>
      <c r="M62" s="57" t="s">
        <v>119</v>
      </c>
      <c r="N62" s="17"/>
      <c r="O62" s="67" t="s">
        <v>119</v>
      </c>
      <c r="P62" s="22"/>
      <c r="Q62" s="40" t="s">
        <v>119</v>
      </c>
      <c r="R62" s="27"/>
      <c r="S62" s="9"/>
      <c r="T62" s="9"/>
    </row>
    <row r="63" spans="5:20" x14ac:dyDescent="0.25">
      <c r="E63" s="56"/>
      <c r="F63" s="5"/>
      <c r="G63" s="5"/>
      <c r="H63" s="5"/>
      <c r="I63" s="5"/>
      <c r="J63" s="5"/>
      <c r="K63" s="5"/>
      <c r="L63" s="5"/>
      <c r="M63" s="57" t="s">
        <v>263</v>
      </c>
      <c r="N63" s="17"/>
      <c r="O63" s="67" t="s">
        <v>263</v>
      </c>
      <c r="P63" s="22"/>
      <c r="Q63" s="40" t="s">
        <v>263</v>
      </c>
      <c r="R63" s="27"/>
      <c r="S63" s="9"/>
      <c r="T63" s="9"/>
    </row>
    <row r="64" spans="5:20" x14ac:dyDescent="0.25">
      <c r="E64" s="56"/>
      <c r="F64" s="5"/>
      <c r="G64" s="283" t="s">
        <v>208</v>
      </c>
      <c r="H64" s="280"/>
      <c r="I64" s="345"/>
      <c r="J64" s="346"/>
      <c r="K64" s="3"/>
      <c r="L64" s="3"/>
      <c r="M64" s="38"/>
      <c r="N64" s="37"/>
      <c r="O64" s="278" t="s">
        <v>169</v>
      </c>
      <c r="P64" s="279"/>
      <c r="Q64" s="288" t="s">
        <v>173</v>
      </c>
      <c r="R64" s="288"/>
      <c r="S64" s="5"/>
      <c r="T64" s="5"/>
    </row>
    <row r="65" spans="5:20" ht="30" x14ac:dyDescent="0.25">
      <c r="E65" s="56"/>
      <c r="F65" s="5"/>
      <c r="G65" s="17" t="s">
        <v>89</v>
      </c>
      <c r="H65" s="86" t="s">
        <v>91</v>
      </c>
      <c r="I65" s="345"/>
      <c r="J65" s="346"/>
      <c r="K65" s="3"/>
      <c r="L65" s="3"/>
      <c r="M65" s="5"/>
      <c r="N65" s="5"/>
      <c r="O65" s="23" t="s">
        <v>89</v>
      </c>
      <c r="P65" s="70" t="s">
        <v>93</v>
      </c>
      <c r="Q65" s="31" t="s">
        <v>89</v>
      </c>
      <c r="R65" s="82" t="s">
        <v>94</v>
      </c>
      <c r="S65" s="3"/>
      <c r="T65" s="3"/>
    </row>
    <row r="66" spans="5:20" x14ac:dyDescent="0.25">
      <c r="E66" s="56"/>
      <c r="F66" s="5"/>
      <c r="G66" s="57" t="s">
        <v>119</v>
      </c>
      <c r="H66" s="86">
        <v>50</v>
      </c>
      <c r="I66" s="345"/>
      <c r="J66" s="346"/>
      <c r="K66" s="3"/>
      <c r="L66" s="3"/>
      <c r="M66" s="5"/>
      <c r="N66" s="5"/>
      <c r="O66" s="46" t="s">
        <v>119</v>
      </c>
      <c r="P66" s="23">
        <f>3000-L52-N52-N59-P59</f>
        <v>483</v>
      </c>
      <c r="Q66" s="44" t="s">
        <v>119</v>
      </c>
      <c r="R66" s="31">
        <v>55</v>
      </c>
      <c r="S66" s="3"/>
      <c r="T66" s="3"/>
    </row>
    <row r="67" spans="5:20" x14ac:dyDescent="0.25">
      <c r="E67" s="56"/>
      <c r="F67" s="5"/>
      <c r="G67" s="57" t="s">
        <v>14</v>
      </c>
      <c r="H67" s="86" t="s">
        <v>10</v>
      </c>
      <c r="I67" s="345"/>
      <c r="J67" s="346"/>
      <c r="K67" s="6"/>
      <c r="L67" s="6"/>
      <c r="M67" s="5"/>
      <c r="N67" s="5"/>
      <c r="O67" s="46" t="s">
        <v>14</v>
      </c>
      <c r="P67" s="23" t="s">
        <v>10</v>
      </c>
      <c r="Q67" s="44" t="s">
        <v>14</v>
      </c>
      <c r="R67" s="31" t="s">
        <v>10</v>
      </c>
      <c r="S67" s="6"/>
      <c r="T67" s="6"/>
    </row>
    <row r="68" spans="5:20" x14ac:dyDescent="0.25">
      <c r="E68" s="56"/>
      <c r="F68" s="5"/>
      <c r="G68" s="17" t="s">
        <v>89</v>
      </c>
      <c r="H68" s="86"/>
      <c r="I68" s="8"/>
      <c r="J68" s="9"/>
      <c r="K68" s="9"/>
      <c r="L68" s="9"/>
      <c r="M68" s="5"/>
      <c r="N68" s="5"/>
      <c r="O68" s="23" t="s">
        <v>89</v>
      </c>
      <c r="P68" s="23"/>
      <c r="Q68" s="31" t="s">
        <v>89</v>
      </c>
      <c r="R68" s="31"/>
      <c r="S68" s="9"/>
      <c r="T68" s="9"/>
    </row>
    <row r="69" spans="5:20" x14ac:dyDescent="0.25">
      <c r="E69" s="56"/>
      <c r="F69" s="5"/>
      <c r="G69" s="57" t="s">
        <v>119</v>
      </c>
      <c r="H69" s="86"/>
      <c r="I69" s="8"/>
      <c r="J69" s="9"/>
      <c r="K69" s="9"/>
      <c r="L69" s="9"/>
      <c r="M69" s="5"/>
      <c r="N69" s="5"/>
      <c r="O69" s="46" t="s">
        <v>119</v>
      </c>
      <c r="P69" s="23"/>
      <c r="Q69" s="44" t="s">
        <v>119</v>
      </c>
      <c r="R69" s="31"/>
      <c r="S69" s="9"/>
      <c r="T69" s="9"/>
    </row>
    <row r="70" spans="5:20" x14ac:dyDescent="0.25">
      <c r="E70" s="56"/>
      <c r="F70" s="5"/>
      <c r="G70" s="57" t="s">
        <v>263</v>
      </c>
      <c r="H70" s="86"/>
      <c r="I70" s="10"/>
      <c r="J70" s="11"/>
      <c r="K70" s="9"/>
      <c r="L70" s="9"/>
      <c r="M70" s="5"/>
      <c r="N70" s="5"/>
      <c r="O70" s="46" t="s">
        <v>263</v>
      </c>
      <c r="P70" s="23"/>
      <c r="Q70" s="44" t="s">
        <v>263</v>
      </c>
      <c r="R70" s="31"/>
      <c r="S70" s="9"/>
      <c r="T70" s="9"/>
    </row>
    <row r="71" spans="5:20" x14ac:dyDescent="0.25">
      <c r="E71" s="56"/>
      <c r="F71" s="5"/>
      <c r="G71" s="282" t="s">
        <v>162</v>
      </c>
      <c r="H71" s="282"/>
      <c r="I71" s="353" t="s">
        <v>209</v>
      </c>
      <c r="J71" s="353"/>
      <c r="K71" s="3"/>
      <c r="L71" s="3"/>
      <c r="M71" s="5"/>
      <c r="N71" s="5"/>
      <c r="O71" s="286" t="s">
        <v>170</v>
      </c>
      <c r="P71" s="286"/>
      <c r="Q71" s="316" t="s">
        <v>174</v>
      </c>
      <c r="R71" s="316"/>
      <c r="S71" s="5"/>
      <c r="T71" s="5"/>
    </row>
    <row r="72" spans="5:20" x14ac:dyDescent="0.25">
      <c r="E72" s="56"/>
      <c r="F72" s="5"/>
      <c r="G72" s="23" t="s">
        <v>89</v>
      </c>
      <c r="H72" s="23" t="s">
        <v>91</v>
      </c>
      <c r="I72" s="22" t="s">
        <v>89</v>
      </c>
      <c r="J72" s="22" t="s">
        <v>91</v>
      </c>
      <c r="K72" s="3"/>
      <c r="L72" s="3"/>
      <c r="M72" s="5"/>
      <c r="N72" s="5"/>
      <c r="O72" s="12" t="s">
        <v>89</v>
      </c>
      <c r="P72" s="12" t="s">
        <v>113</v>
      </c>
      <c r="Q72" s="27" t="s">
        <v>89</v>
      </c>
      <c r="R72" s="27" t="s">
        <v>10</v>
      </c>
      <c r="S72" s="3"/>
      <c r="T72" s="3"/>
    </row>
    <row r="73" spans="5:20" x14ac:dyDescent="0.25">
      <c r="E73" s="56"/>
      <c r="F73" s="5"/>
      <c r="G73" s="46" t="s">
        <v>119</v>
      </c>
      <c r="H73" s="23">
        <v>50</v>
      </c>
      <c r="I73" s="67" t="s">
        <v>119</v>
      </c>
      <c r="J73" s="22">
        <v>28</v>
      </c>
      <c r="K73" s="6"/>
      <c r="L73" s="6"/>
      <c r="M73" s="5"/>
      <c r="N73" s="5"/>
      <c r="O73" s="61" t="s">
        <v>119</v>
      </c>
      <c r="P73" s="12">
        <v>200</v>
      </c>
      <c r="Q73" s="40" t="s">
        <v>119</v>
      </c>
      <c r="R73" s="27" t="s">
        <v>10</v>
      </c>
      <c r="S73" s="3"/>
      <c r="T73" s="3"/>
    </row>
    <row r="74" spans="5:20" x14ac:dyDescent="0.25">
      <c r="E74" s="56"/>
      <c r="F74" s="5"/>
      <c r="G74" s="46" t="s">
        <v>14</v>
      </c>
      <c r="H74" s="24" t="s">
        <v>10</v>
      </c>
      <c r="I74" s="67" t="s">
        <v>14</v>
      </c>
      <c r="J74" s="21" t="s">
        <v>10</v>
      </c>
      <c r="K74" s="35"/>
      <c r="L74" s="35"/>
      <c r="M74" s="35"/>
      <c r="N74" s="35"/>
      <c r="O74" s="61" t="s">
        <v>14</v>
      </c>
      <c r="P74" s="13" t="s">
        <v>10</v>
      </c>
      <c r="Q74" s="40" t="s">
        <v>14</v>
      </c>
      <c r="R74" s="28" t="s">
        <v>10</v>
      </c>
    </row>
    <row r="75" spans="5:20" x14ac:dyDescent="0.25">
      <c r="E75" s="74"/>
      <c r="F75" s="73"/>
      <c r="G75" s="87" t="s">
        <v>89</v>
      </c>
      <c r="H75" s="24"/>
      <c r="I75" s="22" t="s">
        <v>89</v>
      </c>
      <c r="J75" s="89"/>
      <c r="K75" s="74"/>
      <c r="L75" s="35"/>
      <c r="M75" s="35"/>
      <c r="N75" s="73"/>
      <c r="O75" s="84" t="s">
        <v>89</v>
      </c>
      <c r="P75" s="13"/>
      <c r="Q75" s="27" t="s">
        <v>89</v>
      </c>
      <c r="R75" s="28"/>
    </row>
    <row r="76" spans="5:20" x14ac:dyDescent="0.25">
      <c r="E76" s="74"/>
      <c r="F76" s="73"/>
      <c r="G76" s="88" t="s">
        <v>119</v>
      </c>
      <c r="H76" s="24"/>
      <c r="I76" s="67" t="s">
        <v>119</v>
      </c>
      <c r="J76" s="89"/>
      <c r="K76" s="74"/>
      <c r="L76" s="35"/>
      <c r="M76" s="35"/>
      <c r="N76" s="73"/>
      <c r="O76" s="85" t="s">
        <v>119</v>
      </c>
      <c r="P76" s="13"/>
      <c r="Q76" s="40" t="s">
        <v>119</v>
      </c>
      <c r="R76" s="28"/>
    </row>
    <row r="77" spans="5:20" x14ac:dyDescent="0.25">
      <c r="E77" s="75"/>
      <c r="F77" s="76"/>
      <c r="G77" s="88" t="s">
        <v>263</v>
      </c>
      <c r="H77" s="24"/>
      <c r="I77" s="67" t="s">
        <v>263</v>
      </c>
      <c r="J77" s="89"/>
      <c r="K77" s="75"/>
      <c r="L77" s="39"/>
      <c r="M77" s="39"/>
      <c r="N77" s="76"/>
      <c r="O77" s="85" t="s">
        <v>263</v>
      </c>
      <c r="P77" s="13"/>
      <c r="Q77" s="40" t="s">
        <v>263</v>
      </c>
      <c r="R77" s="28"/>
    </row>
    <row r="81" spans="5:21" x14ac:dyDescent="0.25">
      <c r="E81" s="316" t="s">
        <v>339</v>
      </c>
      <c r="F81" s="316"/>
      <c r="G81" s="316"/>
      <c r="H81" s="316"/>
      <c r="I81" s="316"/>
      <c r="J81" s="316"/>
      <c r="K81" s="316"/>
      <c r="L81" s="316"/>
      <c r="N81" s="356" t="s">
        <v>340</v>
      </c>
      <c r="O81" s="356"/>
      <c r="P81" s="356"/>
      <c r="Q81" s="356"/>
      <c r="R81" s="356"/>
      <c r="S81" s="356"/>
      <c r="T81" s="356"/>
      <c r="U81" s="356"/>
    </row>
    <row r="82" spans="5:21" x14ac:dyDescent="0.25">
      <c r="E82" s="287" t="s">
        <v>272</v>
      </c>
      <c r="F82" s="287"/>
      <c r="G82" s="288" t="s">
        <v>273</v>
      </c>
      <c r="H82" s="288"/>
      <c r="I82" s="282" t="s">
        <v>274</v>
      </c>
      <c r="J82" s="282"/>
      <c r="K82" s="286" t="s">
        <v>275</v>
      </c>
      <c r="L82" s="286"/>
      <c r="N82" s="287" t="s">
        <v>289</v>
      </c>
      <c r="O82" s="287"/>
      <c r="P82" s="282" t="s">
        <v>290</v>
      </c>
      <c r="Q82" s="282"/>
      <c r="R82" s="286" t="s">
        <v>291</v>
      </c>
      <c r="S82" s="286"/>
      <c r="T82" s="275" t="s">
        <v>292</v>
      </c>
      <c r="U82" s="275"/>
    </row>
    <row r="83" spans="5:21" x14ac:dyDescent="0.25">
      <c r="E83" s="275" t="s">
        <v>276</v>
      </c>
      <c r="F83" s="275"/>
      <c r="G83" s="286" t="s">
        <v>277</v>
      </c>
      <c r="H83" s="286"/>
      <c r="I83" s="288" t="s">
        <v>278</v>
      </c>
      <c r="J83" s="288"/>
      <c r="K83" s="287" t="s">
        <v>279</v>
      </c>
      <c r="L83" s="287"/>
      <c r="N83" s="286" t="s">
        <v>297</v>
      </c>
      <c r="O83" s="286"/>
      <c r="P83" s="316" t="s">
        <v>300</v>
      </c>
      <c r="Q83" s="316"/>
      <c r="R83" s="282" t="s">
        <v>303</v>
      </c>
      <c r="S83" s="282"/>
      <c r="T83" s="286" t="s">
        <v>306</v>
      </c>
      <c r="U83" s="286"/>
    </row>
    <row r="84" spans="5:21" x14ac:dyDescent="0.25">
      <c r="E84" s="21" t="s">
        <v>89</v>
      </c>
      <c r="F84" s="21"/>
      <c r="G84" s="13" t="s">
        <v>89</v>
      </c>
      <c r="H84" s="13"/>
      <c r="I84" s="32" t="s">
        <v>89</v>
      </c>
      <c r="J84" s="32"/>
      <c r="K84" s="34" t="s">
        <v>89</v>
      </c>
      <c r="L84" s="34"/>
      <c r="N84" s="13" t="s">
        <v>89</v>
      </c>
      <c r="O84" s="13"/>
      <c r="P84" s="28" t="s">
        <v>89</v>
      </c>
      <c r="Q84" s="28"/>
      <c r="R84" s="24" t="s">
        <v>89</v>
      </c>
      <c r="S84" s="24"/>
      <c r="T84" s="13" t="s">
        <v>89</v>
      </c>
      <c r="U84" s="13"/>
    </row>
    <row r="85" spans="5:21" x14ac:dyDescent="0.25">
      <c r="E85" s="21" t="s">
        <v>347</v>
      </c>
      <c r="F85" s="21"/>
      <c r="G85" s="13" t="s">
        <v>347</v>
      </c>
      <c r="H85" s="13"/>
      <c r="I85" s="32" t="s">
        <v>347</v>
      </c>
      <c r="J85" s="32"/>
      <c r="K85" s="34" t="s">
        <v>347</v>
      </c>
      <c r="L85" s="34"/>
      <c r="N85" s="13" t="s">
        <v>347</v>
      </c>
      <c r="O85" s="13"/>
      <c r="P85" s="28" t="s">
        <v>347</v>
      </c>
      <c r="Q85" s="28"/>
      <c r="R85" s="24" t="s">
        <v>347</v>
      </c>
      <c r="S85" s="24"/>
      <c r="T85" s="13" t="s">
        <v>347</v>
      </c>
      <c r="U85" s="13"/>
    </row>
    <row r="86" spans="5:21" x14ac:dyDescent="0.25">
      <c r="E86" s="21" t="s">
        <v>280</v>
      </c>
      <c r="F86" s="21"/>
      <c r="G86" s="13" t="s">
        <v>280</v>
      </c>
      <c r="H86" s="13"/>
      <c r="I86" s="32" t="s">
        <v>280</v>
      </c>
      <c r="J86" s="32"/>
      <c r="K86" s="34" t="s">
        <v>280</v>
      </c>
      <c r="L86" s="34"/>
      <c r="N86" s="13" t="s">
        <v>280</v>
      </c>
      <c r="O86" s="13"/>
      <c r="P86" s="28" t="s">
        <v>280</v>
      </c>
      <c r="Q86" s="28"/>
      <c r="R86" s="24" t="s">
        <v>280</v>
      </c>
      <c r="S86" s="24"/>
      <c r="T86" s="13" t="s">
        <v>280</v>
      </c>
      <c r="U86" s="13"/>
    </row>
    <row r="87" spans="5:21" x14ac:dyDescent="0.25">
      <c r="E87" s="21" t="s">
        <v>14</v>
      </c>
      <c r="F87" s="21"/>
      <c r="G87" s="13" t="s">
        <v>14</v>
      </c>
      <c r="H87" s="13"/>
      <c r="I87" s="32" t="s">
        <v>14</v>
      </c>
      <c r="J87" s="32"/>
      <c r="K87" s="34" t="s">
        <v>14</v>
      </c>
      <c r="L87" s="34"/>
      <c r="N87" s="13" t="s">
        <v>14</v>
      </c>
      <c r="O87" s="13"/>
      <c r="P87" s="28" t="s">
        <v>14</v>
      </c>
      <c r="Q87" s="28"/>
      <c r="R87" s="24" t="s">
        <v>14</v>
      </c>
      <c r="S87" s="24"/>
      <c r="T87" s="13" t="s">
        <v>14</v>
      </c>
      <c r="U87" s="13"/>
    </row>
    <row r="88" spans="5:21" x14ac:dyDescent="0.25">
      <c r="E88" s="21" t="s">
        <v>89</v>
      </c>
      <c r="F88" s="21"/>
      <c r="G88" s="13" t="s">
        <v>89</v>
      </c>
      <c r="H88" s="13"/>
      <c r="I88" s="32" t="s">
        <v>89</v>
      </c>
      <c r="J88" s="32"/>
      <c r="K88" s="34" t="s">
        <v>89</v>
      </c>
      <c r="L88" s="34"/>
      <c r="N88" s="13" t="s">
        <v>89</v>
      </c>
      <c r="O88" s="13"/>
      <c r="P88" s="28" t="s">
        <v>89</v>
      </c>
      <c r="Q88" s="28"/>
      <c r="R88" s="24" t="s">
        <v>89</v>
      </c>
      <c r="S88" s="24"/>
      <c r="T88" s="13" t="s">
        <v>89</v>
      </c>
      <c r="U88" s="13"/>
    </row>
    <row r="89" spans="5:21" x14ac:dyDescent="0.25">
      <c r="E89" s="21" t="s">
        <v>347</v>
      </c>
      <c r="F89" s="21"/>
      <c r="G89" s="13" t="s">
        <v>347</v>
      </c>
      <c r="H89" s="13"/>
      <c r="I89" s="32" t="s">
        <v>347</v>
      </c>
      <c r="J89" s="32"/>
      <c r="K89" s="34" t="s">
        <v>347</v>
      </c>
      <c r="L89" s="34"/>
      <c r="N89" s="13" t="s">
        <v>347</v>
      </c>
      <c r="O89" s="13"/>
      <c r="P89" s="28" t="s">
        <v>347</v>
      </c>
      <c r="Q89" s="28"/>
      <c r="R89" s="24" t="s">
        <v>347</v>
      </c>
      <c r="S89" s="24"/>
      <c r="T89" s="13" t="s">
        <v>347</v>
      </c>
      <c r="U89" s="13"/>
    </row>
    <row r="90" spans="5:21" x14ac:dyDescent="0.25">
      <c r="E90" s="21" t="s">
        <v>280</v>
      </c>
      <c r="F90" s="21"/>
      <c r="G90" s="13" t="s">
        <v>280</v>
      </c>
      <c r="H90" s="13"/>
      <c r="I90" s="32" t="s">
        <v>280</v>
      </c>
      <c r="J90" s="32"/>
      <c r="K90" s="34" t="s">
        <v>280</v>
      </c>
      <c r="L90" s="34"/>
      <c r="N90" s="13" t="s">
        <v>280</v>
      </c>
      <c r="O90" s="13"/>
      <c r="P90" s="28" t="s">
        <v>280</v>
      </c>
      <c r="Q90" s="28"/>
      <c r="R90" s="24" t="s">
        <v>280</v>
      </c>
      <c r="S90" s="24"/>
      <c r="T90" s="13" t="s">
        <v>280</v>
      </c>
      <c r="U90" s="13"/>
    </row>
    <row r="91" spans="5:21" x14ac:dyDescent="0.25">
      <c r="E91" s="21" t="s">
        <v>263</v>
      </c>
      <c r="F91" s="21"/>
      <c r="G91" s="13" t="s">
        <v>263</v>
      </c>
      <c r="H91" s="13"/>
      <c r="I91" s="32" t="s">
        <v>263</v>
      </c>
      <c r="J91" s="32"/>
      <c r="K91" s="34" t="s">
        <v>263</v>
      </c>
      <c r="L91" s="34"/>
      <c r="N91" s="13" t="s">
        <v>263</v>
      </c>
      <c r="O91" s="13"/>
      <c r="P91" s="28" t="s">
        <v>263</v>
      </c>
      <c r="Q91" s="28"/>
      <c r="R91" s="24" t="s">
        <v>263</v>
      </c>
      <c r="S91" s="24"/>
      <c r="T91" s="13" t="s">
        <v>263</v>
      </c>
      <c r="U91" s="13"/>
    </row>
    <row r="92" spans="5:21" x14ac:dyDescent="0.25">
      <c r="E92" s="282" t="s">
        <v>281</v>
      </c>
      <c r="F92" s="282"/>
      <c r="G92" s="356" t="s">
        <v>282</v>
      </c>
      <c r="H92" s="356"/>
      <c r="I92" s="283" t="s">
        <v>283</v>
      </c>
      <c r="J92" s="283"/>
      <c r="K92" s="282" t="s">
        <v>284</v>
      </c>
      <c r="L92" s="282"/>
      <c r="N92" s="282" t="s">
        <v>298</v>
      </c>
      <c r="O92" s="282"/>
      <c r="P92" s="275" t="s">
        <v>301</v>
      </c>
      <c r="Q92" s="275"/>
      <c r="R92" s="287" t="s">
        <v>304</v>
      </c>
      <c r="S92" s="287"/>
      <c r="T92" s="282" t="s">
        <v>307</v>
      </c>
      <c r="U92" s="282"/>
    </row>
    <row r="93" spans="5:21" x14ac:dyDescent="0.25">
      <c r="E93" s="24" t="s">
        <v>89</v>
      </c>
      <c r="F93" s="24"/>
      <c r="G93" s="197" t="s">
        <v>89</v>
      </c>
      <c r="H93" s="197"/>
      <c r="I93" s="18" t="s">
        <v>89</v>
      </c>
      <c r="J93" s="18"/>
      <c r="K93" s="24" t="s">
        <v>89</v>
      </c>
      <c r="L93" s="24"/>
      <c r="N93" s="24" t="s">
        <v>89</v>
      </c>
      <c r="O93" s="24"/>
      <c r="P93" s="21" t="s">
        <v>89</v>
      </c>
      <c r="Q93" s="21"/>
      <c r="R93" s="34" t="s">
        <v>89</v>
      </c>
      <c r="S93" s="34"/>
      <c r="T93" s="24" t="s">
        <v>89</v>
      </c>
      <c r="U93" s="24"/>
    </row>
    <row r="94" spans="5:21" x14ac:dyDescent="0.25">
      <c r="E94" s="24" t="s">
        <v>347</v>
      </c>
      <c r="F94" s="24"/>
      <c r="G94" s="197" t="s">
        <v>347</v>
      </c>
      <c r="H94" s="197"/>
      <c r="I94" s="34" t="s">
        <v>347</v>
      </c>
      <c r="J94" s="18"/>
      <c r="K94" s="24" t="s">
        <v>347</v>
      </c>
      <c r="L94" s="24"/>
      <c r="N94" s="24" t="s">
        <v>347</v>
      </c>
      <c r="O94" s="24"/>
      <c r="P94" s="21" t="s">
        <v>347</v>
      </c>
      <c r="Q94" s="21"/>
      <c r="R94" s="34" t="s">
        <v>347</v>
      </c>
      <c r="S94" s="34"/>
      <c r="T94" s="24" t="s">
        <v>347</v>
      </c>
      <c r="U94" s="24"/>
    </row>
    <row r="95" spans="5:21" x14ac:dyDescent="0.25">
      <c r="E95" s="24" t="s">
        <v>280</v>
      </c>
      <c r="F95" s="24"/>
      <c r="G95" s="197" t="s">
        <v>280</v>
      </c>
      <c r="H95" s="197"/>
      <c r="I95" s="18" t="s">
        <v>280</v>
      </c>
      <c r="J95" s="18"/>
      <c r="K95" s="24" t="s">
        <v>280</v>
      </c>
      <c r="L95" s="24"/>
      <c r="N95" s="24" t="s">
        <v>280</v>
      </c>
      <c r="O95" s="24"/>
      <c r="P95" s="21" t="s">
        <v>280</v>
      </c>
      <c r="Q95" s="21"/>
      <c r="R95" s="34" t="s">
        <v>280</v>
      </c>
      <c r="S95" s="34"/>
      <c r="T95" s="24" t="s">
        <v>280</v>
      </c>
      <c r="U95" s="24"/>
    </row>
    <row r="96" spans="5:21" x14ac:dyDescent="0.25">
      <c r="E96" s="24" t="s">
        <v>14</v>
      </c>
      <c r="F96" s="24"/>
      <c r="G96" s="197" t="s">
        <v>14</v>
      </c>
      <c r="H96" s="197"/>
      <c r="I96" s="18" t="s">
        <v>14</v>
      </c>
      <c r="J96" s="18"/>
      <c r="K96" s="24" t="s">
        <v>14</v>
      </c>
      <c r="L96" s="24"/>
      <c r="N96" s="24" t="s">
        <v>14</v>
      </c>
      <c r="O96" s="24"/>
      <c r="P96" s="21" t="s">
        <v>14</v>
      </c>
      <c r="Q96" s="21"/>
      <c r="R96" s="34" t="s">
        <v>14</v>
      </c>
      <c r="S96" s="34"/>
      <c r="T96" s="24" t="s">
        <v>14</v>
      </c>
      <c r="U96" s="24"/>
    </row>
    <row r="97" spans="5:21" x14ac:dyDescent="0.25">
      <c r="E97" s="24" t="s">
        <v>89</v>
      </c>
      <c r="F97" s="24"/>
      <c r="G97" s="197" t="s">
        <v>89</v>
      </c>
      <c r="H97" s="197"/>
      <c r="I97" s="18" t="s">
        <v>89</v>
      </c>
      <c r="J97" s="18"/>
      <c r="K97" s="24" t="s">
        <v>89</v>
      </c>
      <c r="L97" s="24"/>
      <c r="N97" s="24" t="s">
        <v>89</v>
      </c>
      <c r="O97" s="24"/>
      <c r="P97" s="21" t="s">
        <v>89</v>
      </c>
      <c r="Q97" s="21"/>
      <c r="R97" s="34" t="s">
        <v>89</v>
      </c>
      <c r="S97" s="34"/>
      <c r="T97" s="24" t="s">
        <v>89</v>
      </c>
      <c r="U97" s="24"/>
    </row>
    <row r="98" spans="5:21" x14ac:dyDescent="0.25">
      <c r="E98" s="24" t="s">
        <v>347</v>
      </c>
      <c r="F98" s="24"/>
      <c r="G98" s="197" t="s">
        <v>347</v>
      </c>
      <c r="H98" s="197"/>
      <c r="I98" s="34" t="s">
        <v>347</v>
      </c>
      <c r="J98" s="18"/>
      <c r="K98" s="24" t="s">
        <v>347</v>
      </c>
      <c r="L98" s="24"/>
      <c r="N98" s="24" t="s">
        <v>347</v>
      </c>
      <c r="O98" s="24"/>
      <c r="P98" s="21" t="s">
        <v>347</v>
      </c>
      <c r="Q98" s="21"/>
      <c r="R98" s="34" t="s">
        <v>347</v>
      </c>
      <c r="S98" s="34"/>
      <c r="T98" s="24" t="s">
        <v>347</v>
      </c>
      <c r="U98" s="24"/>
    </row>
    <row r="99" spans="5:21" x14ac:dyDescent="0.25">
      <c r="E99" s="24" t="s">
        <v>280</v>
      </c>
      <c r="F99" s="24"/>
      <c r="G99" s="197" t="s">
        <v>280</v>
      </c>
      <c r="H99" s="197"/>
      <c r="I99" s="18" t="s">
        <v>280</v>
      </c>
      <c r="J99" s="18"/>
      <c r="K99" s="24" t="s">
        <v>280</v>
      </c>
      <c r="L99" s="24"/>
      <c r="N99" s="24" t="s">
        <v>280</v>
      </c>
      <c r="O99" s="24"/>
      <c r="P99" s="21" t="s">
        <v>280</v>
      </c>
      <c r="Q99" s="21"/>
      <c r="R99" s="34" t="s">
        <v>280</v>
      </c>
      <c r="S99" s="34"/>
      <c r="T99" s="24" t="s">
        <v>280</v>
      </c>
      <c r="U99" s="24"/>
    </row>
    <row r="100" spans="5:21" x14ac:dyDescent="0.25">
      <c r="E100" s="24" t="s">
        <v>263</v>
      </c>
      <c r="F100" s="24"/>
      <c r="G100" s="197" t="s">
        <v>263</v>
      </c>
      <c r="H100" s="197"/>
      <c r="I100" s="18" t="s">
        <v>263</v>
      </c>
      <c r="J100" s="18"/>
      <c r="K100" s="24" t="s">
        <v>263</v>
      </c>
      <c r="L100" s="24"/>
      <c r="N100" s="24" t="s">
        <v>263</v>
      </c>
      <c r="O100" s="24"/>
      <c r="P100" s="21" t="s">
        <v>263</v>
      </c>
      <c r="Q100" s="21"/>
      <c r="R100" s="34" t="s">
        <v>263</v>
      </c>
      <c r="S100" s="34"/>
      <c r="T100" s="24" t="s">
        <v>263</v>
      </c>
      <c r="U100" s="24"/>
    </row>
    <row r="101" spans="5:21" x14ac:dyDescent="0.25">
      <c r="E101" s="287" t="s">
        <v>285</v>
      </c>
      <c r="F101" s="287"/>
      <c r="G101" s="282" t="s">
        <v>286</v>
      </c>
      <c r="H101" s="282"/>
      <c r="I101" s="286" t="s">
        <v>287</v>
      </c>
      <c r="J101" s="286"/>
      <c r="K101" s="275" t="s">
        <v>288</v>
      </c>
      <c r="L101" s="275"/>
      <c r="N101" s="283" t="s">
        <v>299</v>
      </c>
      <c r="O101" s="283"/>
      <c r="P101" s="286" t="s">
        <v>302</v>
      </c>
      <c r="Q101" s="286"/>
      <c r="R101" s="288" t="s">
        <v>305</v>
      </c>
      <c r="S101" s="288"/>
      <c r="T101" s="316" t="s">
        <v>308</v>
      </c>
      <c r="U101" s="316"/>
    </row>
    <row r="102" spans="5:21" x14ac:dyDescent="0.25">
      <c r="E102" s="34" t="s">
        <v>89</v>
      </c>
      <c r="F102" s="34"/>
      <c r="G102" s="24" t="s">
        <v>89</v>
      </c>
      <c r="H102" s="24"/>
      <c r="I102" s="13" t="s">
        <v>89</v>
      </c>
      <c r="J102" s="13"/>
      <c r="K102" s="21" t="s">
        <v>89</v>
      </c>
      <c r="L102" s="21"/>
      <c r="N102" s="18" t="s">
        <v>89</v>
      </c>
      <c r="O102" s="18"/>
      <c r="P102" s="13" t="s">
        <v>89</v>
      </c>
      <c r="Q102" s="13"/>
      <c r="R102" s="32" t="s">
        <v>89</v>
      </c>
      <c r="S102" s="32"/>
      <c r="T102" s="28" t="s">
        <v>89</v>
      </c>
      <c r="U102" s="28"/>
    </row>
    <row r="103" spans="5:21" x14ac:dyDescent="0.25">
      <c r="E103" s="34" t="s">
        <v>347</v>
      </c>
      <c r="F103" s="34"/>
      <c r="G103" s="24" t="s">
        <v>347</v>
      </c>
      <c r="H103" s="24"/>
      <c r="I103" s="13" t="s">
        <v>347</v>
      </c>
      <c r="J103" s="13"/>
      <c r="K103" s="21" t="s">
        <v>347</v>
      </c>
      <c r="L103" s="21"/>
      <c r="N103" s="34" t="s">
        <v>347</v>
      </c>
      <c r="O103" s="18"/>
      <c r="P103" s="13" t="s">
        <v>347</v>
      </c>
      <c r="Q103" s="13"/>
      <c r="R103" s="32" t="s">
        <v>347</v>
      </c>
      <c r="S103" s="32"/>
      <c r="T103" s="28" t="s">
        <v>347</v>
      </c>
      <c r="U103" s="28"/>
    </row>
    <row r="104" spans="5:21" x14ac:dyDescent="0.25">
      <c r="E104" s="34" t="s">
        <v>280</v>
      </c>
      <c r="F104" s="34"/>
      <c r="G104" s="24" t="s">
        <v>280</v>
      </c>
      <c r="H104" s="24"/>
      <c r="I104" s="13" t="s">
        <v>280</v>
      </c>
      <c r="J104" s="13"/>
      <c r="K104" s="21" t="s">
        <v>280</v>
      </c>
      <c r="L104" s="21"/>
      <c r="N104" s="18" t="s">
        <v>280</v>
      </c>
      <c r="O104" s="18"/>
      <c r="P104" s="13" t="s">
        <v>280</v>
      </c>
      <c r="Q104" s="13"/>
      <c r="R104" s="32" t="s">
        <v>280</v>
      </c>
      <c r="S104" s="32"/>
      <c r="T104" s="28" t="s">
        <v>280</v>
      </c>
      <c r="U104" s="28"/>
    </row>
    <row r="105" spans="5:21" x14ac:dyDescent="0.25">
      <c r="E105" s="34" t="s">
        <v>14</v>
      </c>
      <c r="F105" s="34"/>
      <c r="G105" s="24" t="s">
        <v>14</v>
      </c>
      <c r="H105" s="24"/>
      <c r="I105" s="13" t="s">
        <v>14</v>
      </c>
      <c r="J105" s="13"/>
      <c r="K105" s="21" t="s">
        <v>14</v>
      </c>
      <c r="L105" s="21"/>
      <c r="N105" s="18" t="s">
        <v>14</v>
      </c>
      <c r="O105" s="18"/>
      <c r="P105" s="13" t="s">
        <v>14</v>
      </c>
      <c r="Q105" s="13"/>
      <c r="R105" s="32" t="s">
        <v>14</v>
      </c>
      <c r="S105" s="32"/>
      <c r="T105" s="28" t="s">
        <v>14</v>
      </c>
      <c r="U105" s="28"/>
    </row>
    <row r="106" spans="5:21" x14ac:dyDescent="0.25">
      <c r="E106" s="34" t="s">
        <v>89</v>
      </c>
      <c r="F106" s="34"/>
      <c r="G106" s="24" t="s">
        <v>89</v>
      </c>
      <c r="H106" s="24"/>
      <c r="I106" s="13" t="s">
        <v>89</v>
      </c>
      <c r="J106" s="13"/>
      <c r="K106" s="21" t="s">
        <v>89</v>
      </c>
      <c r="L106" s="21"/>
      <c r="N106" s="18" t="s">
        <v>89</v>
      </c>
      <c r="O106" s="18"/>
      <c r="P106" s="13" t="s">
        <v>89</v>
      </c>
      <c r="Q106" s="13"/>
      <c r="R106" s="32" t="s">
        <v>89</v>
      </c>
      <c r="S106" s="32"/>
      <c r="T106" s="28" t="s">
        <v>89</v>
      </c>
      <c r="U106" s="28"/>
    </row>
    <row r="107" spans="5:21" x14ac:dyDescent="0.25">
      <c r="E107" s="34" t="s">
        <v>347</v>
      </c>
      <c r="F107" s="34"/>
      <c r="G107" s="24" t="s">
        <v>347</v>
      </c>
      <c r="H107" s="24"/>
      <c r="I107" s="13" t="s">
        <v>347</v>
      </c>
      <c r="J107" s="13"/>
      <c r="K107" s="21" t="s">
        <v>347</v>
      </c>
      <c r="L107" s="21"/>
      <c r="N107" s="34" t="s">
        <v>347</v>
      </c>
      <c r="O107" s="18"/>
      <c r="P107" s="13" t="s">
        <v>347</v>
      </c>
      <c r="Q107" s="13"/>
      <c r="R107" s="32" t="s">
        <v>347</v>
      </c>
      <c r="S107" s="32"/>
      <c r="T107" s="28" t="s">
        <v>347</v>
      </c>
      <c r="U107" s="28"/>
    </row>
    <row r="108" spans="5:21" x14ac:dyDescent="0.25">
      <c r="E108" s="34" t="s">
        <v>280</v>
      </c>
      <c r="F108" s="34"/>
      <c r="G108" s="24" t="s">
        <v>280</v>
      </c>
      <c r="H108" s="24"/>
      <c r="I108" s="13" t="s">
        <v>280</v>
      </c>
      <c r="J108" s="13"/>
      <c r="K108" s="21" t="s">
        <v>280</v>
      </c>
      <c r="L108" s="21"/>
      <c r="N108" s="18" t="s">
        <v>280</v>
      </c>
      <c r="O108" s="18"/>
      <c r="P108" s="13" t="s">
        <v>280</v>
      </c>
      <c r="Q108" s="13"/>
      <c r="R108" s="32" t="s">
        <v>280</v>
      </c>
      <c r="S108" s="32"/>
      <c r="T108" s="28" t="s">
        <v>280</v>
      </c>
      <c r="U108" s="28"/>
    </row>
    <row r="109" spans="5:21" x14ac:dyDescent="0.25">
      <c r="E109" s="34" t="s">
        <v>263</v>
      </c>
      <c r="F109" s="34"/>
      <c r="G109" s="24" t="s">
        <v>263</v>
      </c>
      <c r="H109" s="24"/>
      <c r="I109" s="13" t="s">
        <v>263</v>
      </c>
      <c r="J109" s="13"/>
      <c r="K109" s="21" t="s">
        <v>263</v>
      </c>
      <c r="L109" s="21"/>
      <c r="N109" s="18" t="s">
        <v>263</v>
      </c>
      <c r="O109" s="18"/>
      <c r="P109" s="13" t="s">
        <v>263</v>
      </c>
      <c r="Q109" s="13"/>
      <c r="R109" s="32" t="s">
        <v>263</v>
      </c>
      <c r="S109" s="32"/>
      <c r="T109" s="28" t="s">
        <v>263</v>
      </c>
      <c r="U109" s="28"/>
    </row>
    <row r="111" spans="5:21" x14ac:dyDescent="0.25">
      <c r="E111" s="275" t="s">
        <v>341</v>
      </c>
      <c r="F111" s="275"/>
      <c r="G111" s="275"/>
      <c r="H111" s="275"/>
      <c r="I111" s="275"/>
      <c r="J111" s="275"/>
      <c r="K111" s="275"/>
      <c r="L111" s="275"/>
    </row>
    <row r="112" spans="5:21" x14ac:dyDescent="0.25">
      <c r="E112" s="282" t="s">
        <v>293</v>
      </c>
      <c r="F112" s="282"/>
      <c r="G112" s="283" t="s">
        <v>294</v>
      </c>
      <c r="H112" s="283"/>
      <c r="I112" s="356" t="s">
        <v>295</v>
      </c>
      <c r="J112" s="356"/>
      <c r="K112" s="286" t="s">
        <v>296</v>
      </c>
      <c r="L112" s="286"/>
    </row>
    <row r="113" spans="5:12" x14ac:dyDescent="0.25">
      <c r="E113" s="286" t="s">
        <v>309</v>
      </c>
      <c r="F113" s="286"/>
      <c r="G113" s="275" t="s">
        <v>312</v>
      </c>
      <c r="H113" s="275"/>
      <c r="I113" s="282" t="s">
        <v>315</v>
      </c>
      <c r="J113" s="282"/>
      <c r="K113" s="288" t="s">
        <v>318</v>
      </c>
      <c r="L113" s="288"/>
    </row>
    <row r="114" spans="5:12" x14ac:dyDescent="0.25">
      <c r="E114" s="13" t="s">
        <v>89</v>
      </c>
      <c r="F114" s="13"/>
      <c r="G114" s="21" t="s">
        <v>89</v>
      </c>
      <c r="H114" s="21"/>
      <c r="I114" s="24" t="s">
        <v>89</v>
      </c>
      <c r="J114" s="24"/>
      <c r="K114" s="32" t="s">
        <v>89</v>
      </c>
      <c r="L114" s="32"/>
    </row>
    <row r="115" spans="5:12" x14ac:dyDescent="0.25">
      <c r="E115" s="13" t="s">
        <v>347</v>
      </c>
      <c r="F115" s="13"/>
      <c r="G115" s="21" t="s">
        <v>347</v>
      </c>
      <c r="H115" s="21"/>
      <c r="I115" s="24" t="s">
        <v>347</v>
      </c>
      <c r="J115" s="24"/>
      <c r="K115" s="32" t="s">
        <v>347</v>
      </c>
      <c r="L115" s="32"/>
    </row>
    <row r="116" spans="5:12" x14ac:dyDescent="0.25">
      <c r="E116" s="13" t="s">
        <v>280</v>
      </c>
      <c r="F116" s="13"/>
      <c r="G116" s="21" t="s">
        <v>280</v>
      </c>
      <c r="H116" s="21"/>
      <c r="I116" s="24" t="s">
        <v>280</v>
      </c>
      <c r="J116" s="24"/>
      <c r="K116" s="32" t="s">
        <v>280</v>
      </c>
      <c r="L116" s="32"/>
    </row>
    <row r="117" spans="5:12" x14ac:dyDescent="0.25">
      <c r="E117" s="13" t="s">
        <v>14</v>
      </c>
      <c r="F117" s="13"/>
      <c r="G117" s="21" t="s">
        <v>14</v>
      </c>
      <c r="H117" s="21"/>
      <c r="I117" s="24" t="s">
        <v>14</v>
      </c>
      <c r="J117" s="24"/>
      <c r="K117" s="32" t="s">
        <v>14</v>
      </c>
      <c r="L117" s="32"/>
    </row>
    <row r="118" spans="5:12" x14ac:dyDescent="0.25">
      <c r="E118" s="13" t="s">
        <v>89</v>
      </c>
      <c r="F118" s="13"/>
      <c r="G118" s="21" t="s">
        <v>89</v>
      </c>
      <c r="H118" s="21"/>
      <c r="I118" s="24" t="s">
        <v>89</v>
      </c>
      <c r="J118" s="24"/>
      <c r="K118" s="32" t="s">
        <v>89</v>
      </c>
      <c r="L118" s="32"/>
    </row>
    <row r="119" spans="5:12" x14ac:dyDescent="0.25">
      <c r="E119" s="13" t="s">
        <v>347</v>
      </c>
      <c r="F119" s="13"/>
      <c r="G119" s="21" t="s">
        <v>347</v>
      </c>
      <c r="H119" s="21"/>
      <c r="I119" s="24" t="s">
        <v>347</v>
      </c>
      <c r="J119" s="24"/>
      <c r="K119" s="32" t="s">
        <v>347</v>
      </c>
      <c r="L119" s="32"/>
    </row>
    <row r="120" spans="5:12" x14ac:dyDescent="0.25">
      <c r="E120" s="13" t="s">
        <v>280</v>
      </c>
      <c r="F120" s="13"/>
      <c r="G120" s="21" t="s">
        <v>280</v>
      </c>
      <c r="H120" s="21"/>
      <c r="I120" s="24" t="s">
        <v>280</v>
      </c>
      <c r="J120" s="24"/>
      <c r="K120" s="32" t="s">
        <v>280</v>
      </c>
      <c r="L120" s="32"/>
    </row>
    <row r="121" spans="5:12" x14ac:dyDescent="0.25">
      <c r="E121" s="13" t="s">
        <v>263</v>
      </c>
      <c r="F121" s="13"/>
      <c r="G121" s="21" t="s">
        <v>263</v>
      </c>
      <c r="H121" s="21"/>
      <c r="I121" s="24" t="s">
        <v>263</v>
      </c>
      <c r="J121" s="24"/>
      <c r="K121" s="32" t="s">
        <v>263</v>
      </c>
      <c r="L121" s="32"/>
    </row>
    <row r="122" spans="5:12" x14ac:dyDescent="0.25">
      <c r="E122" s="283" t="s">
        <v>310</v>
      </c>
      <c r="F122" s="283"/>
      <c r="G122" s="286" t="s">
        <v>313</v>
      </c>
      <c r="H122" s="286"/>
      <c r="I122" s="287" t="s">
        <v>316</v>
      </c>
      <c r="J122" s="287"/>
      <c r="K122" s="286" t="s">
        <v>319</v>
      </c>
      <c r="L122" s="286"/>
    </row>
    <row r="123" spans="5:12" x14ac:dyDescent="0.25">
      <c r="E123" s="18" t="s">
        <v>89</v>
      </c>
      <c r="F123" s="18"/>
      <c r="G123" s="13" t="s">
        <v>89</v>
      </c>
      <c r="H123" s="13"/>
      <c r="I123" s="34" t="s">
        <v>89</v>
      </c>
      <c r="J123" s="34"/>
      <c r="K123" s="13" t="s">
        <v>89</v>
      </c>
      <c r="L123" s="13"/>
    </row>
    <row r="124" spans="5:12" x14ac:dyDescent="0.25">
      <c r="E124" s="34" t="s">
        <v>347</v>
      </c>
      <c r="F124" s="18"/>
      <c r="G124" s="13" t="s">
        <v>347</v>
      </c>
      <c r="H124" s="13"/>
      <c r="I124" s="34" t="s">
        <v>347</v>
      </c>
      <c r="J124" s="34"/>
      <c r="K124" s="13" t="s">
        <v>347</v>
      </c>
      <c r="L124" s="13"/>
    </row>
    <row r="125" spans="5:12" x14ac:dyDescent="0.25">
      <c r="E125" s="18" t="s">
        <v>280</v>
      </c>
      <c r="F125" s="18"/>
      <c r="G125" s="13" t="s">
        <v>280</v>
      </c>
      <c r="H125" s="13"/>
      <c r="I125" s="34" t="s">
        <v>280</v>
      </c>
      <c r="J125" s="34"/>
      <c r="K125" s="13" t="s">
        <v>280</v>
      </c>
      <c r="L125" s="13"/>
    </row>
    <row r="126" spans="5:12" x14ac:dyDescent="0.25">
      <c r="E126" s="18" t="s">
        <v>14</v>
      </c>
      <c r="F126" s="18"/>
      <c r="G126" s="13" t="s">
        <v>14</v>
      </c>
      <c r="H126" s="13"/>
      <c r="I126" s="34" t="s">
        <v>14</v>
      </c>
      <c r="J126" s="34"/>
      <c r="K126" s="13" t="s">
        <v>14</v>
      </c>
      <c r="L126" s="13"/>
    </row>
    <row r="127" spans="5:12" x14ac:dyDescent="0.25">
      <c r="E127" s="18" t="s">
        <v>89</v>
      </c>
      <c r="F127" s="18"/>
      <c r="G127" s="13" t="s">
        <v>89</v>
      </c>
      <c r="H127" s="13"/>
      <c r="I127" s="34" t="s">
        <v>89</v>
      </c>
      <c r="J127" s="34"/>
      <c r="K127" s="13" t="s">
        <v>89</v>
      </c>
      <c r="L127" s="13"/>
    </row>
    <row r="128" spans="5:12" x14ac:dyDescent="0.25">
      <c r="E128" s="34" t="s">
        <v>347</v>
      </c>
      <c r="F128" s="18"/>
      <c r="G128" s="13" t="s">
        <v>347</v>
      </c>
      <c r="H128" s="13"/>
      <c r="I128" s="34" t="s">
        <v>347</v>
      </c>
      <c r="J128" s="34"/>
      <c r="K128" s="13" t="s">
        <v>347</v>
      </c>
      <c r="L128" s="13"/>
    </row>
    <row r="129" spans="5:12" x14ac:dyDescent="0.25">
      <c r="E129" s="18" t="s">
        <v>280</v>
      </c>
      <c r="F129" s="18"/>
      <c r="G129" s="13" t="s">
        <v>280</v>
      </c>
      <c r="H129" s="13"/>
      <c r="I129" s="34" t="s">
        <v>280</v>
      </c>
      <c r="J129" s="34"/>
      <c r="K129" s="13" t="s">
        <v>280</v>
      </c>
      <c r="L129" s="13"/>
    </row>
    <row r="130" spans="5:12" x14ac:dyDescent="0.25">
      <c r="E130" s="18" t="s">
        <v>263</v>
      </c>
      <c r="F130" s="18"/>
      <c r="G130" s="13" t="s">
        <v>263</v>
      </c>
      <c r="H130" s="13"/>
      <c r="I130" s="34" t="s">
        <v>263</v>
      </c>
      <c r="J130" s="34"/>
      <c r="K130" s="13" t="s">
        <v>263</v>
      </c>
      <c r="L130" s="13"/>
    </row>
    <row r="131" spans="5:12" x14ac:dyDescent="0.25">
      <c r="E131" s="282" t="s">
        <v>311</v>
      </c>
      <c r="F131" s="282"/>
      <c r="G131" s="288" t="s">
        <v>314</v>
      </c>
      <c r="H131" s="288"/>
      <c r="I131" s="282" t="s">
        <v>317</v>
      </c>
      <c r="J131" s="282"/>
      <c r="K131" s="283" t="s">
        <v>320</v>
      </c>
      <c r="L131" s="283"/>
    </row>
    <row r="132" spans="5:12" x14ac:dyDescent="0.25">
      <c r="E132" s="24" t="s">
        <v>89</v>
      </c>
      <c r="F132" s="24"/>
      <c r="G132" s="32" t="s">
        <v>89</v>
      </c>
      <c r="H132" s="32"/>
      <c r="I132" s="24" t="s">
        <v>89</v>
      </c>
      <c r="J132" s="24"/>
      <c r="K132" s="18" t="s">
        <v>89</v>
      </c>
      <c r="L132" s="18"/>
    </row>
    <row r="133" spans="5:12" x14ac:dyDescent="0.25">
      <c r="E133" s="24" t="s">
        <v>347</v>
      </c>
      <c r="F133" s="24"/>
      <c r="G133" s="32" t="s">
        <v>347</v>
      </c>
      <c r="H133" s="32"/>
      <c r="I133" s="24" t="s">
        <v>347</v>
      </c>
      <c r="J133" s="24"/>
      <c r="K133" s="34" t="s">
        <v>347</v>
      </c>
      <c r="L133" s="18"/>
    </row>
    <row r="134" spans="5:12" x14ac:dyDescent="0.25">
      <c r="E134" s="24" t="s">
        <v>280</v>
      </c>
      <c r="F134" s="24"/>
      <c r="G134" s="32" t="s">
        <v>280</v>
      </c>
      <c r="H134" s="32"/>
      <c r="I134" s="24" t="s">
        <v>280</v>
      </c>
      <c r="J134" s="24"/>
      <c r="K134" s="18" t="s">
        <v>280</v>
      </c>
      <c r="L134" s="18"/>
    </row>
    <row r="135" spans="5:12" x14ac:dyDescent="0.25">
      <c r="E135" s="24" t="s">
        <v>14</v>
      </c>
      <c r="F135" s="24"/>
      <c r="G135" s="32" t="s">
        <v>14</v>
      </c>
      <c r="H135" s="32"/>
      <c r="I135" s="24" t="s">
        <v>14</v>
      </c>
      <c r="J135" s="24"/>
      <c r="K135" s="18" t="s">
        <v>14</v>
      </c>
      <c r="L135" s="18"/>
    </row>
    <row r="136" spans="5:12" x14ac:dyDescent="0.25">
      <c r="E136" s="24" t="s">
        <v>89</v>
      </c>
      <c r="F136" s="24"/>
      <c r="G136" s="32" t="s">
        <v>89</v>
      </c>
      <c r="H136" s="32"/>
      <c r="I136" s="24" t="s">
        <v>89</v>
      </c>
      <c r="J136" s="24"/>
      <c r="K136" s="18" t="s">
        <v>89</v>
      </c>
      <c r="L136" s="18"/>
    </row>
    <row r="137" spans="5:12" x14ac:dyDescent="0.25">
      <c r="E137" s="24" t="s">
        <v>347</v>
      </c>
      <c r="F137" s="24"/>
      <c r="G137" s="32" t="s">
        <v>347</v>
      </c>
      <c r="H137" s="32"/>
      <c r="I137" s="24" t="s">
        <v>347</v>
      </c>
      <c r="J137" s="24"/>
      <c r="K137" s="34" t="s">
        <v>347</v>
      </c>
      <c r="L137" s="18"/>
    </row>
    <row r="138" spans="5:12" x14ac:dyDescent="0.25">
      <c r="E138" s="24" t="s">
        <v>280</v>
      </c>
      <c r="F138" s="24"/>
      <c r="G138" s="32" t="s">
        <v>280</v>
      </c>
      <c r="H138" s="32"/>
      <c r="I138" s="24" t="s">
        <v>280</v>
      </c>
      <c r="J138" s="24"/>
      <c r="K138" s="18" t="s">
        <v>280</v>
      </c>
      <c r="L138" s="18"/>
    </row>
    <row r="139" spans="5:12" x14ac:dyDescent="0.25">
      <c r="E139" s="24" t="s">
        <v>263</v>
      </c>
      <c r="F139" s="24"/>
      <c r="G139" s="32" t="s">
        <v>263</v>
      </c>
      <c r="H139" s="32"/>
      <c r="I139" s="24" t="s">
        <v>263</v>
      </c>
      <c r="J139" s="24"/>
      <c r="K139" s="18" t="s">
        <v>263</v>
      </c>
      <c r="L139" s="18"/>
    </row>
  </sheetData>
  <mergeCells count="121">
    <mergeCell ref="N101:O101"/>
    <mergeCell ref="P101:Q101"/>
    <mergeCell ref="R101:S101"/>
    <mergeCell ref="T101:U101"/>
    <mergeCell ref="N83:O83"/>
    <mergeCell ref="P83:Q83"/>
    <mergeCell ref="R83:S83"/>
    <mergeCell ref="T83:U83"/>
    <mergeCell ref="N92:O92"/>
    <mergeCell ref="P92:Q92"/>
    <mergeCell ref="R92:S92"/>
    <mergeCell ref="T92:U92"/>
    <mergeCell ref="N81:U81"/>
    <mergeCell ref="N82:O82"/>
    <mergeCell ref="P82:Q82"/>
    <mergeCell ref="R82:S82"/>
    <mergeCell ref="T82:U82"/>
    <mergeCell ref="E122:F122"/>
    <mergeCell ref="G122:H122"/>
    <mergeCell ref="I122:J122"/>
    <mergeCell ref="K122:L122"/>
    <mergeCell ref="E101:F101"/>
    <mergeCell ref="G101:H101"/>
    <mergeCell ref="I101:J101"/>
    <mergeCell ref="K101:L101"/>
    <mergeCell ref="E111:L111"/>
    <mergeCell ref="E83:F83"/>
    <mergeCell ref="G83:H83"/>
    <mergeCell ref="I83:J83"/>
    <mergeCell ref="K83:L83"/>
    <mergeCell ref="E92:F92"/>
    <mergeCell ref="G92:H92"/>
    <mergeCell ref="I92:J92"/>
    <mergeCell ref="K92:L92"/>
    <mergeCell ref="E82:F82"/>
    <mergeCell ref="G82:H82"/>
    <mergeCell ref="E131:F131"/>
    <mergeCell ref="G131:H131"/>
    <mergeCell ref="I131:J131"/>
    <mergeCell ref="K131:L131"/>
    <mergeCell ref="E112:F112"/>
    <mergeCell ref="G112:H112"/>
    <mergeCell ref="I112:J112"/>
    <mergeCell ref="K112:L112"/>
    <mergeCell ref="E113:F113"/>
    <mergeCell ref="G113:H113"/>
    <mergeCell ref="I113:J113"/>
    <mergeCell ref="K113:L113"/>
    <mergeCell ref="I82:J82"/>
    <mergeCell ref="K82:L82"/>
    <mergeCell ref="E81:L81"/>
    <mergeCell ref="E2:R2"/>
    <mergeCell ref="E48:R48"/>
    <mergeCell ref="M25:N45"/>
    <mergeCell ref="K4:L17"/>
    <mergeCell ref="M4:R10"/>
    <mergeCell ref="M11:N17"/>
    <mergeCell ref="E4:F17"/>
    <mergeCell ref="E39:F39"/>
    <mergeCell ref="G39:H39"/>
    <mergeCell ref="K39:L39"/>
    <mergeCell ref="O3:P3"/>
    <mergeCell ref="Q3:R3"/>
    <mergeCell ref="O18:P18"/>
    <mergeCell ref="Q18:R18"/>
    <mergeCell ref="O25:P25"/>
    <mergeCell ref="Q25:R25"/>
    <mergeCell ref="G71:H71"/>
    <mergeCell ref="I71:J71"/>
    <mergeCell ref="Q71:R71"/>
    <mergeCell ref="G64:H64"/>
    <mergeCell ref="M57:N57"/>
    <mergeCell ref="Q64:R64"/>
    <mergeCell ref="I64:J67"/>
    <mergeCell ref="O57:P57"/>
    <mergeCell ref="Q57:R57"/>
    <mergeCell ref="O64:P64"/>
    <mergeCell ref="O71:P71"/>
    <mergeCell ref="Q50:R50"/>
    <mergeCell ref="Q49:R49"/>
    <mergeCell ref="K49:L49"/>
    <mergeCell ref="K50:L50"/>
    <mergeCell ref="E50:F50"/>
    <mergeCell ref="G50:H50"/>
    <mergeCell ref="I50:J50"/>
    <mergeCell ref="M50:N50"/>
    <mergeCell ref="E49:F49"/>
    <mergeCell ref="G49:H49"/>
    <mergeCell ref="I49:J49"/>
    <mergeCell ref="M49:N49"/>
    <mergeCell ref="O49:P49"/>
    <mergeCell ref="O50:P50"/>
    <mergeCell ref="O11:P11"/>
    <mergeCell ref="Q11:R11"/>
    <mergeCell ref="I25:J25"/>
    <mergeCell ref="I32:J32"/>
    <mergeCell ref="I39:J39"/>
    <mergeCell ref="O32:P32"/>
    <mergeCell ref="Q32:R32"/>
    <mergeCell ref="O39:P39"/>
    <mergeCell ref="Q39:R39"/>
    <mergeCell ref="K25:L25"/>
    <mergeCell ref="K32:L32"/>
    <mergeCell ref="E25:F25"/>
    <mergeCell ref="E32:F32"/>
    <mergeCell ref="E3:F3"/>
    <mergeCell ref="G18:H18"/>
    <mergeCell ref="G25:H25"/>
    <mergeCell ref="G32:H32"/>
    <mergeCell ref="G3:H3"/>
    <mergeCell ref="G4:H4"/>
    <mergeCell ref="G11:H11"/>
    <mergeCell ref="M3:N3"/>
    <mergeCell ref="M18:N18"/>
    <mergeCell ref="E18:F18"/>
    <mergeCell ref="I3:J3"/>
    <mergeCell ref="K3:L3"/>
    <mergeCell ref="I4:J4"/>
    <mergeCell ref="I18:J18"/>
    <mergeCell ref="I11:J11"/>
    <mergeCell ref="K18:L18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9C4B8-9929-4CA0-B51D-94362FA23EB8}">
  <dimension ref="A1:O175"/>
  <sheetViews>
    <sheetView topLeftCell="A27" zoomScale="50" zoomScaleNormal="50" workbookViewId="0">
      <selection activeCell="L167" sqref="L167"/>
    </sheetView>
  </sheetViews>
  <sheetFormatPr baseColWidth="10" defaultRowHeight="15" x14ac:dyDescent="0.25"/>
  <cols>
    <col min="5" max="5" width="19" bestFit="1" customWidth="1"/>
    <col min="6" max="6" width="14.7109375" customWidth="1"/>
    <col min="7" max="7" width="15.5703125" customWidth="1"/>
    <col min="8" max="8" width="19.7109375" customWidth="1"/>
    <col min="9" max="10" width="23.140625" customWidth="1"/>
    <col min="11" max="11" width="13.7109375" customWidth="1"/>
    <col min="12" max="12" width="55.42578125" customWidth="1"/>
    <col min="13" max="13" width="43.42578125" customWidth="1"/>
  </cols>
  <sheetData>
    <row r="1" spans="1:15" ht="61.5" customHeight="1" x14ac:dyDescent="0.25">
      <c r="A1" t="s">
        <v>205</v>
      </c>
      <c r="B1" s="7" t="s">
        <v>117</v>
      </c>
      <c r="C1" s="7" t="s">
        <v>118</v>
      </c>
      <c r="D1" s="7" t="s">
        <v>14</v>
      </c>
      <c r="E1" s="7" t="s">
        <v>89</v>
      </c>
      <c r="F1" s="7" t="s">
        <v>119</v>
      </c>
      <c r="G1" s="55" t="s">
        <v>206</v>
      </c>
      <c r="H1" s="91" t="s">
        <v>343</v>
      </c>
      <c r="I1" s="55" t="s">
        <v>212</v>
      </c>
      <c r="J1" s="91" t="s">
        <v>267</v>
      </c>
      <c r="K1" s="91" t="s">
        <v>269</v>
      </c>
      <c r="L1" s="212" t="s">
        <v>121</v>
      </c>
      <c r="M1" s="220"/>
    </row>
    <row r="2" spans="1:15" ht="15" customHeight="1" x14ac:dyDescent="0.25">
      <c r="A2" s="387" t="s">
        <v>207</v>
      </c>
      <c r="B2" s="377" t="s">
        <v>97</v>
      </c>
      <c r="C2" s="333" t="s">
        <v>102</v>
      </c>
      <c r="D2" s="28">
        <f>MP!B21</f>
        <v>0</v>
      </c>
      <c r="E2" s="28" t="str">
        <f>MP!F19</f>
        <v>Ajonjoli B</v>
      </c>
      <c r="F2" s="28">
        <f>MP!F20</f>
        <v>15</v>
      </c>
      <c r="G2" s="90">
        <v>25</v>
      </c>
      <c r="H2" s="28">
        <f>Hoja2!W3</f>
        <v>0</v>
      </c>
      <c r="I2" s="90" t="e">
        <f>(E2*F2)-H2</f>
        <v>#VALUE!</v>
      </c>
      <c r="J2" s="367" t="e">
        <f>I2+I3</f>
        <v>#VALUE!</v>
      </c>
      <c r="K2" s="333" t="e">
        <f>J2/F2</f>
        <v>#VALUE!</v>
      </c>
      <c r="L2" s="213"/>
      <c r="M2" s="221"/>
    </row>
    <row r="3" spans="1:15" x14ac:dyDescent="0.25">
      <c r="A3" s="388"/>
      <c r="B3" s="378"/>
      <c r="C3" s="335"/>
      <c r="D3" s="28">
        <f>MP!B24</f>
        <v>0</v>
      </c>
      <c r="E3" s="27">
        <f>MP!F22</f>
        <v>0</v>
      </c>
      <c r="F3" s="28">
        <f>MP!F23</f>
        <v>0</v>
      </c>
      <c r="G3" s="130">
        <v>25</v>
      </c>
      <c r="H3" s="28">
        <v>200</v>
      </c>
      <c r="I3" s="90">
        <f>(F3*G3)-H3</f>
        <v>-200</v>
      </c>
      <c r="J3" s="368"/>
      <c r="K3" s="335"/>
      <c r="L3" s="213"/>
      <c r="M3" s="221"/>
    </row>
    <row r="4" spans="1:15" x14ac:dyDescent="0.25">
      <c r="A4" s="388"/>
      <c r="B4" s="378"/>
      <c r="C4" s="318" t="s">
        <v>144</v>
      </c>
      <c r="D4" s="32"/>
      <c r="E4" s="32" t="str">
        <f>MP!F26</f>
        <v>Cacahuate</v>
      </c>
      <c r="F4" s="32">
        <f>MP!F27</f>
        <v>30</v>
      </c>
      <c r="G4" s="32">
        <v>2</v>
      </c>
      <c r="H4" s="32"/>
      <c r="I4" s="132" t="e">
        <f>(E4*F4)-H4</f>
        <v>#VALUE!</v>
      </c>
      <c r="J4" s="318" t="e">
        <f>I4+I5</f>
        <v>#VALUE!</v>
      </c>
      <c r="K4" s="318" t="e">
        <f>J4/F5</f>
        <v>#VALUE!</v>
      </c>
      <c r="L4" s="214"/>
      <c r="M4" s="221"/>
    </row>
    <row r="5" spans="1:15" x14ac:dyDescent="0.25">
      <c r="A5" s="388"/>
      <c r="B5" s="378"/>
      <c r="C5" s="320"/>
      <c r="D5" s="32">
        <f>MP!B31</f>
        <v>0</v>
      </c>
      <c r="E5" s="32">
        <f>MP!F29</f>
        <v>0</v>
      </c>
      <c r="F5" s="32">
        <f>MP!F30</f>
        <v>0</v>
      </c>
      <c r="G5" s="32">
        <v>12</v>
      </c>
      <c r="H5" s="32"/>
      <c r="I5" s="132">
        <f>(E5*F5)-H5</f>
        <v>0</v>
      </c>
      <c r="J5" s="320"/>
      <c r="K5" s="320"/>
      <c r="L5" s="214"/>
      <c r="M5" s="221"/>
    </row>
    <row r="6" spans="1:15" x14ac:dyDescent="0.25">
      <c r="A6" s="388"/>
      <c r="B6" s="378"/>
      <c r="C6" s="377" t="s">
        <v>145</v>
      </c>
      <c r="D6" s="24">
        <f>MP!B35</f>
        <v>0</v>
      </c>
      <c r="E6" s="24" t="str">
        <f>MP!F33</f>
        <v>Aceite</v>
      </c>
      <c r="F6" s="24">
        <f>MP!F34</f>
        <v>48</v>
      </c>
      <c r="G6" s="24"/>
      <c r="H6" s="24"/>
      <c r="I6" s="133" t="e">
        <f>(E6*F6)-H6</f>
        <v>#VALUE!</v>
      </c>
      <c r="J6" s="377" t="e">
        <f t="shared" ref="J6" si="0">I6+I8</f>
        <v>#VALUE!</v>
      </c>
      <c r="K6" s="365"/>
      <c r="L6" s="215"/>
      <c r="M6" s="221"/>
    </row>
    <row r="7" spans="1:15" x14ac:dyDescent="0.25">
      <c r="A7" s="388"/>
      <c r="B7" s="378"/>
      <c r="C7" s="379"/>
      <c r="D7" s="24">
        <f>MP!B38</f>
        <v>0</v>
      </c>
      <c r="E7" s="24">
        <f>MP!F36</f>
        <v>0</v>
      </c>
      <c r="F7" s="24">
        <f>MP!F37</f>
        <v>0</v>
      </c>
      <c r="G7" s="24"/>
      <c r="H7" s="24"/>
      <c r="I7" s="133">
        <f t="shared" ref="I7:I96" si="1">(E7*F7)-H7</f>
        <v>0</v>
      </c>
      <c r="J7" s="379"/>
      <c r="K7" s="366"/>
      <c r="L7" s="215"/>
      <c r="M7" s="221"/>
    </row>
    <row r="8" spans="1:15" x14ac:dyDescent="0.25">
      <c r="A8" s="388"/>
      <c r="B8" s="378"/>
      <c r="C8" s="380" t="s">
        <v>112</v>
      </c>
      <c r="D8" s="18">
        <f>MP!B42</f>
        <v>0</v>
      </c>
      <c r="E8" s="18" t="str">
        <f>MP!F40</f>
        <v>Aceite</v>
      </c>
      <c r="F8" s="18">
        <f>MP!F41</f>
        <v>50</v>
      </c>
      <c r="G8" s="18"/>
      <c r="H8" s="18"/>
      <c r="I8" s="134" t="e">
        <f>(E8*F8)-H8</f>
        <v>#VALUE!</v>
      </c>
      <c r="J8" s="380" t="e">
        <f>I8+I9</f>
        <v>#VALUE!</v>
      </c>
      <c r="K8" s="380" t="e">
        <f>J8/F8</f>
        <v>#VALUE!</v>
      </c>
      <c r="L8" s="216"/>
      <c r="M8" s="221"/>
      <c r="O8" t="s">
        <v>358</v>
      </c>
    </row>
    <row r="9" spans="1:15" x14ac:dyDescent="0.25">
      <c r="A9" s="388"/>
      <c r="B9" s="379"/>
      <c r="C9" s="381"/>
      <c r="D9" s="18">
        <f>MP!B45</f>
        <v>0</v>
      </c>
      <c r="E9" s="18">
        <f>MP!F43</f>
        <v>0</v>
      </c>
      <c r="F9" s="18"/>
      <c r="G9" s="18"/>
      <c r="H9" s="18"/>
      <c r="I9" s="134">
        <f>(E9*F9)-H9</f>
        <v>0</v>
      </c>
      <c r="J9" s="381"/>
      <c r="K9" s="381"/>
      <c r="L9" s="216"/>
      <c r="M9" s="221"/>
    </row>
    <row r="10" spans="1:15" x14ac:dyDescent="0.25">
      <c r="A10" s="388"/>
      <c r="B10" s="374" t="s">
        <v>98</v>
      </c>
      <c r="C10" s="377" t="s">
        <v>139</v>
      </c>
      <c r="D10" s="135">
        <f>MP!D7</f>
        <v>0</v>
      </c>
      <c r="E10" s="24" t="str">
        <f>MP!H5</f>
        <v>Sal</v>
      </c>
      <c r="F10" s="24">
        <f>MP!H6</f>
        <v>45</v>
      </c>
      <c r="G10" s="24"/>
      <c r="H10" s="24"/>
      <c r="I10" s="133" t="e">
        <f t="shared" si="1"/>
        <v>#VALUE!</v>
      </c>
      <c r="J10" s="365" t="e">
        <f>I10+I11</f>
        <v>#VALUE!</v>
      </c>
      <c r="K10" s="365" t="e">
        <f>J10/F10</f>
        <v>#VALUE!</v>
      </c>
      <c r="L10" s="215"/>
      <c r="M10" s="221"/>
    </row>
    <row r="11" spans="1:15" x14ac:dyDescent="0.25">
      <c r="A11" s="388"/>
      <c r="B11" s="375"/>
      <c r="C11" s="379"/>
      <c r="D11" s="135">
        <f>MP!D10</f>
        <v>0</v>
      </c>
      <c r="E11" s="24">
        <f>MP!H8</f>
        <v>0</v>
      </c>
      <c r="F11" s="24">
        <f>MP!H9</f>
        <v>0</v>
      </c>
      <c r="G11" s="24"/>
      <c r="H11" s="24"/>
      <c r="I11" s="133">
        <f t="shared" si="1"/>
        <v>0</v>
      </c>
      <c r="J11" s="366"/>
      <c r="K11" s="366"/>
      <c r="L11" s="215"/>
      <c r="M11" s="221"/>
    </row>
    <row r="12" spans="1:15" x14ac:dyDescent="0.25">
      <c r="A12" s="388"/>
      <c r="B12" s="375"/>
      <c r="C12" s="325" t="s">
        <v>140</v>
      </c>
      <c r="D12" s="21">
        <f>MP!D14</f>
        <v>0</v>
      </c>
      <c r="E12" s="21" t="str">
        <f>MP!H12</f>
        <v>Sal</v>
      </c>
      <c r="F12" s="21">
        <f>MP!H13</f>
        <v>45</v>
      </c>
      <c r="G12" s="21"/>
      <c r="H12" s="21"/>
      <c r="I12" s="136" t="e">
        <f>(E12*F12)-H12</f>
        <v>#VALUE!</v>
      </c>
      <c r="J12" s="306" t="e">
        <f>I12+I13</f>
        <v>#VALUE!</v>
      </c>
      <c r="K12" s="306" t="e">
        <f>J12/F12</f>
        <v>#VALUE!</v>
      </c>
      <c r="L12" s="89"/>
      <c r="M12" s="221"/>
    </row>
    <row r="13" spans="1:15" x14ac:dyDescent="0.25">
      <c r="A13" s="388"/>
      <c r="B13" s="375"/>
      <c r="C13" s="371"/>
      <c r="D13" s="21">
        <f>MP!D17</f>
        <v>0</v>
      </c>
      <c r="E13" s="21">
        <f>MP!H15</f>
        <v>0</v>
      </c>
      <c r="F13" s="21">
        <f>MP!H16</f>
        <v>0</v>
      </c>
      <c r="G13" s="21"/>
      <c r="H13" s="21"/>
      <c r="I13" s="136">
        <f>(E13*F13)-H13</f>
        <v>0</v>
      </c>
      <c r="J13" s="353"/>
      <c r="K13" s="353"/>
      <c r="L13" s="89"/>
      <c r="M13" s="221"/>
    </row>
    <row r="14" spans="1:15" x14ac:dyDescent="0.25">
      <c r="A14" s="388"/>
      <c r="B14" s="375"/>
      <c r="C14" s="377" t="s">
        <v>103</v>
      </c>
      <c r="D14" s="24">
        <f>MP!D21</f>
        <v>0</v>
      </c>
      <c r="E14" s="24" t="str">
        <f>MP!H19</f>
        <v>Ajonjoli N</v>
      </c>
      <c r="F14" s="24">
        <f>MP!H20</f>
        <v>55</v>
      </c>
      <c r="G14" s="24"/>
      <c r="H14" s="24"/>
      <c r="I14" s="133" t="e">
        <f t="shared" si="1"/>
        <v>#VALUE!</v>
      </c>
      <c r="J14" s="365" t="e">
        <f>I14+I15</f>
        <v>#VALUE!</v>
      </c>
      <c r="K14" s="365" t="e">
        <f>J14/F14</f>
        <v>#VALUE!</v>
      </c>
      <c r="L14" s="215"/>
      <c r="M14" s="221"/>
    </row>
    <row r="15" spans="1:15" x14ac:dyDescent="0.25">
      <c r="A15" s="388"/>
      <c r="B15" s="375"/>
      <c r="C15" s="379"/>
      <c r="D15" s="24">
        <f>MP!D24</f>
        <v>0</v>
      </c>
      <c r="E15" s="24">
        <f>MP!H22</f>
        <v>0</v>
      </c>
      <c r="F15" s="24">
        <f>MP!H23</f>
        <v>0</v>
      </c>
      <c r="G15" s="24"/>
      <c r="H15" s="24"/>
      <c r="I15" s="133">
        <f t="shared" si="1"/>
        <v>0</v>
      </c>
      <c r="J15" s="366"/>
      <c r="K15" s="366"/>
      <c r="L15" s="215"/>
      <c r="M15" s="221"/>
    </row>
    <row r="16" spans="1:15" x14ac:dyDescent="0.25">
      <c r="A16" s="388"/>
      <c r="B16" s="375"/>
      <c r="C16" s="333" t="s">
        <v>141</v>
      </c>
      <c r="D16" s="28">
        <f>MP!D28</f>
        <v>0</v>
      </c>
      <c r="E16" s="137" t="str">
        <f>MP!H26</f>
        <v>Cacahuate</v>
      </c>
      <c r="F16" s="28">
        <f>MP!H27</f>
        <v>35</v>
      </c>
      <c r="G16" s="28"/>
      <c r="H16" s="28"/>
      <c r="I16" s="90" t="e">
        <f t="shared" si="1"/>
        <v>#VALUE!</v>
      </c>
      <c r="J16" s="367" t="e">
        <f>I16+I17</f>
        <v>#VALUE!</v>
      </c>
      <c r="K16" s="367" t="e">
        <f>J16/F16</f>
        <v>#VALUE!</v>
      </c>
      <c r="L16" s="213"/>
      <c r="M16" s="221"/>
    </row>
    <row r="17" spans="1:13" x14ac:dyDescent="0.25">
      <c r="A17" s="388"/>
      <c r="B17" s="375"/>
      <c r="C17" s="335"/>
      <c r="D17" s="28">
        <f>MP!D31</f>
        <v>0</v>
      </c>
      <c r="E17" s="137">
        <f>MP!H29</f>
        <v>0</v>
      </c>
      <c r="F17" s="28">
        <f>MP!H30</f>
        <v>0</v>
      </c>
      <c r="G17" s="28"/>
      <c r="H17" s="28"/>
      <c r="I17" s="90">
        <f>(E17*F17)-H17</f>
        <v>0</v>
      </c>
      <c r="J17" s="368"/>
      <c r="K17" s="368"/>
      <c r="L17" s="213"/>
      <c r="M17" s="221"/>
    </row>
    <row r="18" spans="1:13" x14ac:dyDescent="0.25">
      <c r="A18" s="388"/>
      <c r="B18" s="375"/>
      <c r="C18" s="330" t="s">
        <v>142</v>
      </c>
      <c r="D18" s="13">
        <f>MP!D35</f>
        <v>0</v>
      </c>
      <c r="E18" s="13" t="str">
        <f>MP!H33</f>
        <v>-</v>
      </c>
      <c r="F18" s="13" t="str">
        <f>MP!H34</f>
        <v>-</v>
      </c>
      <c r="G18" s="13"/>
      <c r="H18" s="13"/>
      <c r="I18" s="138" t="e">
        <f>(E18*F18)-H18</f>
        <v>#VALUE!</v>
      </c>
      <c r="J18" s="361" t="e">
        <f>I18+I19</f>
        <v>#VALUE!</v>
      </c>
      <c r="K18" s="361" t="e">
        <f>J18/F18</f>
        <v>#VALUE!</v>
      </c>
      <c r="L18" s="217"/>
      <c r="M18" s="221"/>
    </row>
    <row r="19" spans="1:13" x14ac:dyDescent="0.25">
      <c r="A19" s="388"/>
      <c r="B19" s="375"/>
      <c r="C19" s="332"/>
      <c r="D19" s="13">
        <f>MP!D38</f>
        <v>0</v>
      </c>
      <c r="E19" s="13">
        <f>MP!H36</f>
        <v>0</v>
      </c>
      <c r="F19" s="13">
        <f>MP!H37</f>
        <v>0</v>
      </c>
      <c r="G19" s="13"/>
      <c r="H19" s="13"/>
      <c r="I19" s="138"/>
      <c r="J19" s="362"/>
      <c r="K19" s="362"/>
      <c r="L19" s="217"/>
      <c r="M19" s="221"/>
    </row>
    <row r="20" spans="1:13" x14ac:dyDescent="0.25">
      <c r="A20" s="388"/>
      <c r="B20" s="375"/>
      <c r="C20" s="325" t="s">
        <v>143</v>
      </c>
      <c r="D20" s="21">
        <f>MP!D42</f>
        <v>0</v>
      </c>
      <c r="E20" s="21" t="str">
        <f>MP!H40</f>
        <v>-</v>
      </c>
      <c r="F20" s="21" t="str">
        <f>MP!H41</f>
        <v>-</v>
      </c>
      <c r="G20" s="21"/>
      <c r="H20" s="21"/>
      <c r="I20" s="136" t="e">
        <f t="shared" si="1"/>
        <v>#VALUE!</v>
      </c>
      <c r="J20" s="306" t="e">
        <f>I20+I21</f>
        <v>#VALUE!</v>
      </c>
      <c r="K20" s="306" t="e">
        <f>J20/F20</f>
        <v>#VALUE!</v>
      </c>
      <c r="L20" s="89"/>
      <c r="M20" s="221"/>
    </row>
    <row r="21" spans="1:13" x14ac:dyDescent="0.25">
      <c r="A21" s="388"/>
      <c r="B21" s="376"/>
      <c r="C21" s="371"/>
      <c r="D21" s="21">
        <f>MP!D45</f>
        <v>0</v>
      </c>
      <c r="E21" s="21">
        <f>MP!H43</f>
        <v>0</v>
      </c>
      <c r="F21" s="21">
        <f>MP!H44</f>
        <v>0</v>
      </c>
      <c r="G21" s="21"/>
      <c r="H21" s="21"/>
      <c r="I21" s="136">
        <f t="shared" si="1"/>
        <v>0</v>
      </c>
      <c r="J21" s="353"/>
      <c r="K21" s="353"/>
      <c r="L21" s="89"/>
      <c r="M21" s="221"/>
    </row>
    <row r="22" spans="1:13" x14ac:dyDescent="0.25">
      <c r="A22" s="388"/>
      <c r="B22" s="318" t="s">
        <v>99</v>
      </c>
      <c r="C22" s="330" t="s">
        <v>146</v>
      </c>
      <c r="D22" s="13">
        <f>MP!F7</f>
        <v>0</v>
      </c>
      <c r="E22" s="13" t="str">
        <f>MP!J5</f>
        <v>Cacahuate</v>
      </c>
      <c r="F22" s="13">
        <f>MP!J6</f>
        <v>16</v>
      </c>
      <c r="G22" s="13"/>
      <c r="H22" s="13"/>
      <c r="I22" s="138" t="e">
        <f t="shared" si="1"/>
        <v>#VALUE!</v>
      </c>
      <c r="J22" s="361" t="e">
        <f>I22+I23</f>
        <v>#VALUE!</v>
      </c>
      <c r="K22" s="361" t="e">
        <f>J22/F22</f>
        <v>#VALUE!</v>
      </c>
      <c r="L22" s="217"/>
      <c r="M22" s="221"/>
    </row>
    <row r="23" spans="1:13" x14ac:dyDescent="0.25">
      <c r="A23" s="388"/>
      <c r="B23" s="319"/>
      <c r="C23" s="332"/>
      <c r="D23" s="13">
        <f>MP!F10</f>
        <v>0</v>
      </c>
      <c r="E23" s="13">
        <f>MP!J8</f>
        <v>0</v>
      </c>
      <c r="F23" s="13">
        <f>MP!J9</f>
        <v>0</v>
      </c>
      <c r="G23" s="13"/>
      <c r="H23" s="13"/>
      <c r="I23" s="138">
        <f t="shared" si="1"/>
        <v>0</v>
      </c>
      <c r="J23" s="362"/>
      <c r="K23" s="362"/>
      <c r="L23" s="217"/>
      <c r="M23" s="221"/>
    </row>
    <row r="24" spans="1:13" x14ac:dyDescent="0.25">
      <c r="A24" s="388"/>
      <c r="B24" s="319"/>
      <c r="C24" s="384" t="s">
        <v>147</v>
      </c>
      <c r="D24" s="34">
        <f>MP!F14</f>
        <v>0</v>
      </c>
      <c r="E24" s="34" t="s">
        <v>82</v>
      </c>
      <c r="F24" s="34">
        <v>12</v>
      </c>
      <c r="G24" s="34"/>
      <c r="H24" s="34"/>
      <c r="I24" s="139" t="e">
        <f t="shared" si="1"/>
        <v>#VALUE!</v>
      </c>
      <c r="J24" s="363" t="e">
        <f>I24+I25</f>
        <v>#VALUE!</v>
      </c>
      <c r="K24" s="363" t="e">
        <f>J24/F24</f>
        <v>#VALUE!</v>
      </c>
      <c r="L24" s="218"/>
      <c r="M24" s="221"/>
    </row>
    <row r="25" spans="1:13" x14ac:dyDescent="0.25">
      <c r="A25" s="388"/>
      <c r="B25" s="319"/>
      <c r="C25" s="385"/>
      <c r="D25" s="34">
        <f>MP!F17</f>
        <v>0</v>
      </c>
      <c r="E25" s="34">
        <f>MP!J15</f>
        <v>0</v>
      </c>
      <c r="F25" s="34">
        <f>MP!J16</f>
        <v>0</v>
      </c>
      <c r="G25" s="34"/>
      <c r="H25" s="34"/>
      <c r="I25" s="139">
        <f t="shared" si="1"/>
        <v>0</v>
      </c>
      <c r="J25" s="364"/>
      <c r="K25" s="364"/>
      <c r="L25" s="218"/>
      <c r="M25" s="221"/>
    </row>
    <row r="26" spans="1:13" x14ac:dyDescent="0.25">
      <c r="A26" s="388"/>
      <c r="B26" s="319"/>
      <c r="C26" s="330" t="s">
        <v>104</v>
      </c>
      <c r="D26" s="13" t="str">
        <f>MP!F21</f>
        <v>-</v>
      </c>
      <c r="E26" s="13" t="str">
        <f>MP!J19</f>
        <v xml:space="preserve">Ajonjoli N </v>
      </c>
      <c r="F26" s="13">
        <f>MP!J20</f>
        <v>55</v>
      </c>
      <c r="G26" s="13"/>
      <c r="H26" s="13"/>
      <c r="I26" s="138" t="e">
        <f t="shared" si="1"/>
        <v>#VALUE!</v>
      </c>
      <c r="J26" s="361" t="e">
        <f>I26+I27</f>
        <v>#VALUE!</v>
      </c>
      <c r="K26" s="361" t="e">
        <f>J26/F26</f>
        <v>#VALUE!</v>
      </c>
      <c r="L26" s="217"/>
      <c r="M26" s="221"/>
    </row>
    <row r="27" spans="1:13" x14ac:dyDescent="0.25">
      <c r="A27" s="388"/>
      <c r="B27" s="319"/>
      <c r="C27" s="332"/>
      <c r="D27" s="13">
        <f>MP!F24</f>
        <v>0</v>
      </c>
      <c r="E27" s="13">
        <f>MP!J22</f>
        <v>0</v>
      </c>
      <c r="F27" s="13">
        <f>MP!J23</f>
        <v>0</v>
      </c>
      <c r="G27" s="13"/>
      <c r="H27" s="13"/>
      <c r="I27" s="138">
        <f t="shared" si="1"/>
        <v>0</v>
      </c>
      <c r="J27" s="362"/>
      <c r="K27" s="362"/>
      <c r="L27" s="217"/>
      <c r="M27" s="221"/>
    </row>
    <row r="28" spans="1:13" x14ac:dyDescent="0.25">
      <c r="A28" s="388"/>
      <c r="B28" s="319"/>
      <c r="C28" s="377" t="s">
        <v>106</v>
      </c>
      <c r="D28" s="24" t="str">
        <f>MP!F28</f>
        <v>-</v>
      </c>
      <c r="E28" s="24" t="str">
        <f>MP!J26</f>
        <v xml:space="preserve">
Cacahuate</v>
      </c>
      <c r="F28" s="24">
        <f>MP!J27</f>
        <v>11</v>
      </c>
      <c r="G28" s="24"/>
      <c r="H28" s="24"/>
      <c r="I28" s="133" t="e">
        <f t="shared" si="1"/>
        <v>#VALUE!</v>
      </c>
      <c r="J28" s="365" t="e">
        <f>I28+I29</f>
        <v>#VALUE!</v>
      </c>
      <c r="K28" s="365" t="e">
        <f>J28/F28</f>
        <v>#VALUE!</v>
      </c>
      <c r="L28" s="215"/>
      <c r="M28" s="221"/>
    </row>
    <row r="29" spans="1:13" x14ac:dyDescent="0.25">
      <c r="A29" s="388"/>
      <c r="B29" s="319"/>
      <c r="C29" s="379"/>
      <c r="D29" s="24">
        <f>MP!F31</f>
        <v>0</v>
      </c>
      <c r="E29" s="24">
        <f>MP!J29</f>
        <v>0</v>
      </c>
      <c r="F29" s="24">
        <f>MP!J30</f>
        <v>0</v>
      </c>
      <c r="G29" s="24"/>
      <c r="H29" s="24"/>
      <c r="I29" s="133">
        <f t="shared" si="1"/>
        <v>0</v>
      </c>
      <c r="J29" s="366"/>
      <c r="K29" s="366"/>
      <c r="L29" s="215"/>
      <c r="M29" s="221"/>
    </row>
    <row r="30" spans="1:13" x14ac:dyDescent="0.25">
      <c r="A30" s="388"/>
      <c r="B30" s="319"/>
      <c r="C30" s="367" t="s">
        <v>148</v>
      </c>
      <c r="D30" s="28">
        <v>155234</v>
      </c>
      <c r="E30" s="28" t="s">
        <v>271</v>
      </c>
      <c r="F30" s="28">
        <v>34</v>
      </c>
      <c r="G30" s="28">
        <v>10</v>
      </c>
      <c r="H30" s="28" t="e">
        <f>Hoja2!#REF!</f>
        <v>#REF!</v>
      </c>
      <c r="I30" s="90" t="e">
        <f t="shared" si="1"/>
        <v>#VALUE!</v>
      </c>
      <c r="J30" s="367" t="e">
        <f t="shared" ref="J30" si="2">I30+I31</f>
        <v>#VALUE!</v>
      </c>
      <c r="K30" s="367" t="e">
        <f t="shared" ref="K30" si="3">J30/F30</f>
        <v>#VALUE!</v>
      </c>
      <c r="L30" s="213"/>
      <c r="M30" s="221"/>
    </row>
    <row r="31" spans="1:13" x14ac:dyDescent="0.25">
      <c r="A31" s="388"/>
      <c r="B31" s="319"/>
      <c r="C31" s="368"/>
      <c r="D31" s="28">
        <f>MP!F38</f>
        <v>0</v>
      </c>
      <c r="E31" s="28">
        <f>MP!J36</f>
        <v>0</v>
      </c>
      <c r="F31" s="28">
        <f>MP!J37</f>
        <v>0</v>
      </c>
      <c r="G31" s="28"/>
      <c r="H31" s="28"/>
      <c r="I31" s="90">
        <f t="shared" si="1"/>
        <v>0</v>
      </c>
      <c r="J31" s="368"/>
      <c r="K31" s="368"/>
      <c r="L31" s="213"/>
      <c r="M31" s="221"/>
    </row>
    <row r="32" spans="1:13" x14ac:dyDescent="0.25">
      <c r="A32" s="388"/>
      <c r="B32" s="319"/>
      <c r="C32" s="365" t="s">
        <v>149</v>
      </c>
      <c r="D32" s="24" t="str">
        <f>MP!F42</f>
        <v>-</v>
      </c>
      <c r="E32" s="24" t="str">
        <f>MP!J40</f>
        <v>-</v>
      </c>
      <c r="F32" s="24" t="str">
        <f>MP!J41</f>
        <v>-</v>
      </c>
      <c r="G32" s="24"/>
      <c r="H32" s="24"/>
      <c r="I32" s="133" t="e">
        <f>(E32*F32)-H32</f>
        <v>#VALUE!</v>
      </c>
      <c r="J32" s="365" t="e">
        <f t="shared" ref="J32" si="4">I32+I33</f>
        <v>#VALUE!</v>
      </c>
      <c r="K32" s="365" t="e">
        <f t="shared" ref="K32" si="5">J32/F32</f>
        <v>#VALUE!</v>
      </c>
      <c r="L32" s="215"/>
      <c r="M32" s="221"/>
    </row>
    <row r="33" spans="1:13" x14ac:dyDescent="0.25">
      <c r="A33" s="388"/>
      <c r="B33" s="320"/>
      <c r="C33" s="366"/>
      <c r="D33" s="24">
        <f>MP!F45</f>
        <v>0</v>
      </c>
      <c r="E33" s="24">
        <f>MP!J43</f>
        <v>0</v>
      </c>
      <c r="F33" s="24">
        <f>MP!J44</f>
        <v>0</v>
      </c>
      <c r="G33" s="24"/>
      <c r="H33" s="24"/>
      <c r="I33" s="133">
        <f t="shared" si="1"/>
        <v>0</v>
      </c>
      <c r="J33" s="366"/>
      <c r="K33" s="366"/>
      <c r="L33" s="215"/>
      <c r="M33" s="221"/>
    </row>
    <row r="34" spans="1:13" x14ac:dyDescent="0.25">
      <c r="A34" s="388"/>
      <c r="B34" s="330" t="s">
        <v>100</v>
      </c>
      <c r="C34" s="382" t="s">
        <v>101</v>
      </c>
      <c r="D34" s="18" t="str">
        <f>MP!H21</f>
        <v>-</v>
      </c>
      <c r="E34" s="18" t="str">
        <f>MP!L19</f>
        <v>ANIS</v>
      </c>
      <c r="F34" s="18">
        <f>MP!L20</f>
        <v>63.4</v>
      </c>
      <c r="G34" s="18"/>
      <c r="H34" s="18"/>
      <c r="I34" s="134" t="e">
        <f t="shared" si="1"/>
        <v>#VALUE!</v>
      </c>
      <c r="J34" s="382" t="e">
        <f t="shared" ref="J34" si="6">I34+I35</f>
        <v>#VALUE!</v>
      </c>
      <c r="K34" s="382" t="e">
        <f t="shared" ref="K34" si="7">J34/F34</f>
        <v>#VALUE!</v>
      </c>
      <c r="L34" s="216"/>
      <c r="M34" s="221"/>
    </row>
    <row r="35" spans="1:13" x14ac:dyDescent="0.25">
      <c r="A35" s="388"/>
      <c r="B35" s="331"/>
      <c r="C35" s="383"/>
      <c r="D35" s="18">
        <f>MP!H24</f>
        <v>0</v>
      </c>
      <c r="E35" s="18">
        <f>MP!L22</f>
        <v>0</v>
      </c>
      <c r="F35" s="18">
        <f>MP!L23</f>
        <v>0</v>
      </c>
      <c r="G35" s="18"/>
      <c r="H35" s="18"/>
      <c r="I35" s="134">
        <f t="shared" si="1"/>
        <v>0</v>
      </c>
      <c r="J35" s="383"/>
      <c r="K35" s="383"/>
      <c r="L35" s="216"/>
      <c r="M35" s="221"/>
    </row>
    <row r="36" spans="1:13" x14ac:dyDescent="0.25">
      <c r="A36" s="388"/>
      <c r="B36" s="331"/>
      <c r="C36" s="306" t="s">
        <v>107</v>
      </c>
      <c r="D36" s="21" t="str">
        <f>MP!H28</f>
        <v>-</v>
      </c>
      <c r="E36" s="21" t="str">
        <f>MP!L26</f>
        <v>Galleta</v>
      </c>
      <c r="F36" s="21">
        <f>MP!L27</f>
        <v>23</v>
      </c>
      <c r="G36" s="21"/>
      <c r="H36" s="21"/>
      <c r="I36" s="136" t="e">
        <f t="shared" si="1"/>
        <v>#VALUE!</v>
      </c>
      <c r="J36" s="306" t="e">
        <f t="shared" ref="J36" si="8">I36+I37</f>
        <v>#VALUE!</v>
      </c>
      <c r="K36" s="306" t="e">
        <f t="shared" ref="K36" si="9">J36/F36</f>
        <v>#VALUE!</v>
      </c>
      <c r="L36" s="89"/>
      <c r="M36" s="221"/>
    </row>
    <row r="37" spans="1:13" x14ac:dyDescent="0.25">
      <c r="A37" s="388"/>
      <c r="B37" s="331"/>
      <c r="C37" s="353"/>
      <c r="D37" s="21">
        <f>MP!H31</f>
        <v>0</v>
      </c>
      <c r="E37" s="21">
        <f>MP!L29</f>
        <v>0</v>
      </c>
      <c r="F37" s="21">
        <f>MP!L30</f>
        <v>0</v>
      </c>
      <c r="G37" s="21"/>
      <c r="H37" s="21"/>
      <c r="I37" s="136">
        <f t="shared" si="1"/>
        <v>0</v>
      </c>
      <c r="J37" s="353"/>
      <c r="K37" s="353"/>
      <c r="L37" s="89"/>
      <c r="M37" s="221"/>
    </row>
    <row r="38" spans="1:13" x14ac:dyDescent="0.25">
      <c r="A38" s="388"/>
      <c r="B38" s="331"/>
      <c r="C38" s="372" t="s">
        <v>108</v>
      </c>
      <c r="D38" s="43" t="str">
        <f>MP!H35</f>
        <v>-</v>
      </c>
      <c r="E38" s="43" t="str">
        <f>MP!L33</f>
        <v>-</v>
      </c>
      <c r="F38" s="43" t="str">
        <f>MP!L34</f>
        <v>-</v>
      </c>
      <c r="G38" s="43"/>
      <c r="H38" s="43"/>
      <c r="I38" s="141" t="e">
        <f t="shared" si="1"/>
        <v>#VALUE!</v>
      </c>
      <c r="J38" s="372" t="e">
        <f t="shared" ref="J38" si="10">I38+I39</f>
        <v>#VALUE!</v>
      </c>
      <c r="K38" s="372" t="e">
        <f t="shared" ref="K38" si="11">J38/F38</f>
        <v>#VALUE!</v>
      </c>
      <c r="L38" s="219"/>
      <c r="M38" s="221"/>
    </row>
    <row r="39" spans="1:13" x14ac:dyDescent="0.25">
      <c r="A39" s="388"/>
      <c r="B39" s="331"/>
      <c r="C39" s="373"/>
      <c r="D39" s="43">
        <f>MP!H38</f>
        <v>0</v>
      </c>
      <c r="E39" s="43">
        <f>MP!L36</f>
        <v>0</v>
      </c>
      <c r="F39" s="43">
        <f>MP!L37</f>
        <v>0</v>
      </c>
      <c r="G39" s="43"/>
      <c r="H39" s="43"/>
      <c r="I39" s="141">
        <f t="shared" si="1"/>
        <v>0</v>
      </c>
      <c r="J39" s="373"/>
      <c r="K39" s="373"/>
      <c r="L39" s="219"/>
      <c r="M39" s="221"/>
    </row>
    <row r="40" spans="1:13" x14ac:dyDescent="0.25">
      <c r="A40" s="388"/>
      <c r="B40" s="331"/>
      <c r="C40" s="361" t="s">
        <v>109</v>
      </c>
      <c r="D40" s="13" t="str">
        <f>MP!H42</f>
        <v>-</v>
      </c>
      <c r="E40" s="13" t="str">
        <f>MP!L40</f>
        <v>-</v>
      </c>
      <c r="F40" s="13" t="str">
        <f>MP!L41</f>
        <v>-</v>
      </c>
      <c r="G40" s="13"/>
      <c r="H40" s="13"/>
      <c r="I40" s="138" t="e">
        <f t="shared" si="1"/>
        <v>#VALUE!</v>
      </c>
      <c r="J40" s="361" t="e">
        <f t="shared" ref="J40" si="12">I40+I41</f>
        <v>#VALUE!</v>
      </c>
      <c r="K40" s="361" t="e">
        <f t="shared" ref="K40" si="13">J40/F40</f>
        <v>#VALUE!</v>
      </c>
      <c r="L40" s="217"/>
      <c r="M40" s="221"/>
    </row>
    <row r="41" spans="1:13" x14ac:dyDescent="0.25">
      <c r="A41" s="388"/>
      <c r="B41" s="332"/>
      <c r="C41" s="362"/>
      <c r="D41" s="13">
        <f>MP!H45</f>
        <v>0</v>
      </c>
      <c r="E41" s="13">
        <f>MP!L43</f>
        <v>0</v>
      </c>
      <c r="F41" s="13">
        <f>MP!L44</f>
        <v>0</v>
      </c>
      <c r="G41" s="13"/>
      <c r="H41" s="13"/>
      <c r="I41" s="138">
        <f t="shared" si="1"/>
        <v>0</v>
      </c>
      <c r="J41" s="362"/>
      <c r="K41" s="362"/>
      <c r="L41" s="217"/>
      <c r="M41" s="221"/>
    </row>
    <row r="42" spans="1:13" x14ac:dyDescent="0.25">
      <c r="A42" s="388"/>
      <c r="B42" s="318" t="s">
        <v>110</v>
      </c>
      <c r="C42" s="318" t="s">
        <v>111</v>
      </c>
      <c r="D42" s="32" t="str">
        <f>MP!J21</f>
        <v>-</v>
      </c>
      <c r="E42" s="32" t="str">
        <f>MP!N19</f>
        <v>Canela</v>
      </c>
      <c r="F42" s="32">
        <f>MP!N20</f>
        <v>137.6</v>
      </c>
      <c r="G42" s="32"/>
      <c r="H42" s="32"/>
      <c r="I42" s="132" t="e">
        <f t="shared" si="1"/>
        <v>#VALUE!</v>
      </c>
      <c r="J42" s="386" t="e">
        <f t="shared" ref="J42" si="14">I42+I43</f>
        <v>#VALUE!</v>
      </c>
      <c r="K42" s="386" t="e">
        <f t="shared" ref="K42" si="15">J42/F42</f>
        <v>#VALUE!</v>
      </c>
      <c r="L42" s="214"/>
      <c r="M42" s="221"/>
    </row>
    <row r="43" spans="1:13" x14ac:dyDescent="0.25">
      <c r="A43" s="388"/>
      <c r="B43" s="320"/>
      <c r="C43" s="320"/>
      <c r="D43" s="32">
        <f>MP!J24</f>
        <v>0</v>
      </c>
      <c r="E43" s="32">
        <f>MP!N22</f>
        <v>0</v>
      </c>
      <c r="F43" s="32">
        <f>MP!N23</f>
        <v>0</v>
      </c>
      <c r="G43" s="32"/>
      <c r="H43" s="32"/>
      <c r="I43" s="132">
        <f t="shared" si="1"/>
        <v>0</v>
      </c>
      <c r="J43" s="342"/>
      <c r="K43" s="342"/>
      <c r="L43" s="214"/>
      <c r="M43" s="221"/>
    </row>
    <row r="44" spans="1:13" x14ac:dyDescent="0.25">
      <c r="A44" s="388"/>
      <c r="B44" s="333" t="s">
        <v>130</v>
      </c>
      <c r="C44" s="363" t="s">
        <v>150</v>
      </c>
      <c r="D44" s="34">
        <f>MP!L14</f>
        <v>0</v>
      </c>
      <c r="E44" s="34" t="str">
        <f>MP!P12</f>
        <v>Aceite</v>
      </c>
      <c r="F44" s="34">
        <f>MP!P13</f>
        <v>100</v>
      </c>
      <c r="G44" s="34"/>
      <c r="H44" s="34"/>
      <c r="I44" s="139" t="e">
        <f t="shared" si="1"/>
        <v>#VALUE!</v>
      </c>
      <c r="J44" s="363" t="e">
        <f t="shared" ref="J44" si="16">I44+I45</f>
        <v>#VALUE!</v>
      </c>
      <c r="K44" s="363" t="e">
        <f t="shared" ref="K44" si="17">J44/F44</f>
        <v>#VALUE!</v>
      </c>
      <c r="L44" s="218"/>
      <c r="M44" s="221"/>
    </row>
    <row r="45" spans="1:13" x14ac:dyDescent="0.25">
      <c r="A45" s="388"/>
      <c r="B45" s="334"/>
      <c r="C45" s="364"/>
      <c r="D45" s="34">
        <f>MP!L17</f>
        <v>0</v>
      </c>
      <c r="E45" s="34">
        <f>MP!P15</f>
        <v>0</v>
      </c>
      <c r="F45" s="34">
        <f>MP!P16</f>
        <v>0</v>
      </c>
      <c r="G45" s="34"/>
      <c r="H45" s="34"/>
      <c r="I45" s="139">
        <f t="shared" si="1"/>
        <v>0</v>
      </c>
      <c r="J45" s="364"/>
      <c r="K45" s="364"/>
      <c r="L45" s="218"/>
      <c r="M45" s="221"/>
    </row>
    <row r="46" spans="1:13" x14ac:dyDescent="0.25">
      <c r="A46" s="388"/>
      <c r="B46" s="334"/>
      <c r="C46" s="361" t="s">
        <v>153</v>
      </c>
      <c r="D46" s="13" t="str">
        <f>MP!L21</f>
        <v>-</v>
      </c>
      <c r="E46" s="13" t="str">
        <f>MP!P19</f>
        <v>Platano</v>
      </c>
      <c r="F46" s="13">
        <f>MP!P20</f>
        <v>28</v>
      </c>
      <c r="G46" s="13"/>
      <c r="H46" s="13"/>
      <c r="I46" s="138" t="e">
        <f t="shared" si="1"/>
        <v>#VALUE!</v>
      </c>
      <c r="J46" s="361" t="e">
        <f t="shared" ref="J46" si="18">I46+I47</f>
        <v>#VALUE!</v>
      </c>
      <c r="K46" s="361" t="e">
        <f t="shared" ref="K46" si="19">J46/F46</f>
        <v>#VALUE!</v>
      </c>
      <c r="L46" s="217"/>
      <c r="M46" s="221"/>
    </row>
    <row r="47" spans="1:13" x14ac:dyDescent="0.25">
      <c r="A47" s="388"/>
      <c r="B47" s="334"/>
      <c r="C47" s="362"/>
      <c r="D47" s="13">
        <f>MP!L24</f>
        <v>0</v>
      </c>
      <c r="E47" s="13">
        <f>MP!P22</f>
        <v>0</v>
      </c>
      <c r="F47" s="13">
        <f>MP!P23</f>
        <v>0</v>
      </c>
      <c r="G47" s="13"/>
      <c r="H47" s="13"/>
      <c r="I47" s="138">
        <f t="shared" si="1"/>
        <v>0</v>
      </c>
      <c r="J47" s="362"/>
      <c r="K47" s="362"/>
      <c r="L47" s="217"/>
      <c r="M47" s="221"/>
    </row>
    <row r="48" spans="1:13" x14ac:dyDescent="0.25">
      <c r="A48" s="388"/>
      <c r="B48" s="334"/>
      <c r="C48" s="382" t="s">
        <v>152</v>
      </c>
      <c r="D48" s="18" t="str">
        <f>MP!L28</f>
        <v>-</v>
      </c>
      <c r="E48" s="18" t="str">
        <f>MP!P26</f>
        <v>Varios</v>
      </c>
      <c r="F48" s="18">
        <f>MP!P27</f>
        <v>0</v>
      </c>
      <c r="G48" s="18"/>
      <c r="H48" s="18"/>
      <c r="I48" s="134" t="e">
        <f t="shared" si="1"/>
        <v>#VALUE!</v>
      </c>
      <c r="J48" s="382" t="e">
        <f t="shared" ref="J48" si="20">I48+I49</f>
        <v>#VALUE!</v>
      </c>
      <c r="K48" s="382" t="e">
        <f t="shared" ref="K48" si="21">J48/F48</f>
        <v>#VALUE!</v>
      </c>
      <c r="L48" s="216"/>
      <c r="M48" s="221"/>
    </row>
    <row r="49" spans="1:13" x14ac:dyDescent="0.25">
      <c r="A49" s="388"/>
      <c r="B49" s="334"/>
      <c r="C49" s="383"/>
      <c r="D49" s="18">
        <f>MP!L31</f>
        <v>0</v>
      </c>
      <c r="E49" s="18">
        <f>MP!P29</f>
        <v>0</v>
      </c>
      <c r="F49" s="18">
        <f>MP!P30</f>
        <v>0</v>
      </c>
      <c r="G49" s="18"/>
      <c r="H49" s="18"/>
      <c r="I49" s="134">
        <f t="shared" si="1"/>
        <v>0</v>
      </c>
      <c r="J49" s="383"/>
      <c r="K49" s="383"/>
      <c r="L49" s="216"/>
      <c r="M49" s="221"/>
    </row>
    <row r="50" spans="1:13" x14ac:dyDescent="0.25">
      <c r="A50" s="388"/>
      <c r="B50" s="334"/>
      <c r="C50" s="365" t="s">
        <v>154</v>
      </c>
      <c r="D50" s="24" t="str">
        <f>MP!L35</f>
        <v>-</v>
      </c>
      <c r="E50" s="24" t="str">
        <f>MP!P33</f>
        <v>Azucar</v>
      </c>
      <c r="F50" s="24">
        <f>MP!P34</f>
        <v>62</v>
      </c>
      <c r="G50" s="24"/>
      <c r="H50" s="24"/>
      <c r="I50" s="133" t="e">
        <f t="shared" si="1"/>
        <v>#VALUE!</v>
      </c>
      <c r="J50" s="365" t="e">
        <f t="shared" ref="J50" si="22">I50+I51</f>
        <v>#VALUE!</v>
      </c>
      <c r="K50" s="365" t="e">
        <f t="shared" ref="K50" si="23">J50/F50</f>
        <v>#VALUE!</v>
      </c>
      <c r="L50" s="215"/>
      <c r="M50" s="221"/>
    </row>
    <row r="51" spans="1:13" x14ac:dyDescent="0.25">
      <c r="A51" s="388"/>
      <c r="B51" s="334"/>
      <c r="C51" s="366"/>
      <c r="D51" s="24">
        <f>MP!L38</f>
        <v>0</v>
      </c>
      <c r="E51" s="24">
        <f>MP!P36</f>
        <v>0</v>
      </c>
      <c r="F51" s="24">
        <f>MP!P37</f>
        <v>0</v>
      </c>
      <c r="G51" s="24"/>
      <c r="H51" s="24"/>
      <c r="I51" s="133">
        <f t="shared" si="1"/>
        <v>0</v>
      </c>
      <c r="J51" s="366"/>
      <c r="K51" s="366"/>
      <c r="L51" s="215"/>
      <c r="M51" s="221"/>
    </row>
    <row r="52" spans="1:13" x14ac:dyDescent="0.25">
      <c r="A52" s="388"/>
      <c r="B52" s="334"/>
      <c r="C52" s="386" t="s">
        <v>155</v>
      </c>
      <c r="D52" s="32" t="str">
        <f>MP!L42</f>
        <v>-</v>
      </c>
      <c r="E52" s="32" t="str">
        <f>MP!P40</f>
        <v>Aceite</v>
      </c>
      <c r="F52" s="32">
        <f>MP!P41</f>
        <v>48</v>
      </c>
      <c r="G52" s="32"/>
      <c r="H52" s="32"/>
      <c r="I52" s="132" t="e">
        <f t="shared" si="1"/>
        <v>#VALUE!</v>
      </c>
      <c r="J52" s="386" t="e">
        <f t="shared" ref="J52" si="24">I52+I53</f>
        <v>#VALUE!</v>
      </c>
      <c r="K52" s="386" t="e">
        <f t="shared" ref="K52" si="25">J52/F52</f>
        <v>#VALUE!</v>
      </c>
      <c r="L52" s="214"/>
      <c r="M52" s="221"/>
    </row>
    <row r="53" spans="1:13" x14ac:dyDescent="0.25">
      <c r="A53" s="388"/>
      <c r="B53" s="335"/>
      <c r="C53" s="342"/>
      <c r="D53" s="32">
        <f>MP!L45</f>
        <v>0</v>
      </c>
      <c r="E53" s="32">
        <f>MP!P43</f>
        <v>0</v>
      </c>
      <c r="F53" s="32">
        <f>MP!P44</f>
        <v>0</v>
      </c>
      <c r="G53" s="32"/>
      <c r="H53" s="32"/>
      <c r="I53" s="132">
        <f t="shared" si="1"/>
        <v>0</v>
      </c>
      <c r="J53" s="342"/>
      <c r="K53" s="342"/>
      <c r="L53" s="214"/>
      <c r="M53" s="221"/>
    </row>
    <row r="54" spans="1:13" x14ac:dyDescent="0.25">
      <c r="A54" s="388"/>
      <c r="B54" s="325" t="s">
        <v>131</v>
      </c>
      <c r="C54" s="361" t="s">
        <v>151</v>
      </c>
      <c r="D54" s="13">
        <f>MP!N14</f>
        <v>0</v>
      </c>
      <c r="E54" s="13" t="str">
        <f>MP!R12</f>
        <v>Aceite</v>
      </c>
      <c r="F54" s="13">
        <f>MP!R13</f>
        <v>100</v>
      </c>
      <c r="G54" s="13"/>
      <c r="H54" s="13"/>
      <c r="I54" s="138" t="e">
        <f t="shared" si="1"/>
        <v>#VALUE!</v>
      </c>
      <c r="J54" s="361" t="e">
        <f t="shared" ref="J54" si="26">I54+I55</f>
        <v>#VALUE!</v>
      </c>
      <c r="K54" s="361" t="e">
        <f t="shared" ref="K54" si="27">J54/F54</f>
        <v>#VALUE!</v>
      </c>
      <c r="L54" s="217"/>
      <c r="M54" s="221"/>
    </row>
    <row r="55" spans="1:13" x14ac:dyDescent="0.25">
      <c r="A55" s="388"/>
      <c r="B55" s="326"/>
      <c r="C55" s="362"/>
      <c r="D55" s="13">
        <f>MP!N17</f>
        <v>0</v>
      </c>
      <c r="E55" s="13">
        <f>MP!R15</f>
        <v>0</v>
      </c>
      <c r="F55" s="13">
        <f>MP!R16</f>
        <v>0</v>
      </c>
      <c r="G55" s="13"/>
      <c r="H55" s="13"/>
      <c r="I55" s="138">
        <f t="shared" si="1"/>
        <v>0</v>
      </c>
      <c r="J55" s="362"/>
      <c r="K55" s="362"/>
      <c r="L55" s="217"/>
      <c r="M55" s="221"/>
    </row>
    <row r="56" spans="1:13" x14ac:dyDescent="0.25">
      <c r="A56" s="388"/>
      <c r="B56" s="326"/>
      <c r="C56" s="365" t="s">
        <v>156</v>
      </c>
      <c r="D56" s="24" t="str">
        <f>MP!N21</f>
        <v>-</v>
      </c>
      <c r="E56" s="24" t="str">
        <f>MP!R19</f>
        <v>Platano</v>
      </c>
      <c r="F56" s="24">
        <f>MP!R20</f>
        <v>35</v>
      </c>
      <c r="G56" s="24"/>
      <c r="H56" s="24"/>
      <c r="I56" s="133" t="e">
        <f t="shared" si="1"/>
        <v>#VALUE!</v>
      </c>
      <c r="J56" s="365" t="e">
        <f t="shared" ref="J56" si="28">I56+I57</f>
        <v>#VALUE!</v>
      </c>
      <c r="K56" s="365" t="e">
        <f t="shared" ref="K56" si="29">J56/F56</f>
        <v>#VALUE!</v>
      </c>
      <c r="L56" s="215"/>
      <c r="M56" s="221"/>
    </row>
    <row r="57" spans="1:13" x14ac:dyDescent="0.25">
      <c r="A57" s="388"/>
      <c r="B57" s="326"/>
      <c r="C57" s="366"/>
      <c r="D57" s="24">
        <f>MP!N24</f>
        <v>0</v>
      </c>
      <c r="E57" s="24">
        <f>MP!R22</f>
        <v>0</v>
      </c>
      <c r="F57" s="24">
        <f>MP!R23</f>
        <v>0</v>
      </c>
      <c r="G57" s="24"/>
      <c r="H57" s="24"/>
      <c r="I57" s="133">
        <f t="shared" si="1"/>
        <v>0</v>
      </c>
      <c r="J57" s="366"/>
      <c r="K57" s="366"/>
      <c r="L57" s="215"/>
      <c r="M57" s="221"/>
    </row>
    <row r="58" spans="1:13" x14ac:dyDescent="0.25">
      <c r="A58" s="388"/>
      <c r="B58" s="326"/>
      <c r="C58" s="361" t="s">
        <v>157</v>
      </c>
      <c r="D58" s="13">
        <f>MP!N28</f>
        <v>0</v>
      </c>
      <c r="E58" s="13" t="str">
        <f>MP!R26</f>
        <v>Varios</v>
      </c>
      <c r="F58" s="13">
        <f>MP!R27</f>
        <v>0</v>
      </c>
      <c r="G58" s="13"/>
      <c r="H58" s="13"/>
      <c r="I58" s="138" t="e">
        <f t="shared" si="1"/>
        <v>#VALUE!</v>
      </c>
      <c r="J58" s="361" t="e">
        <f t="shared" ref="J58" si="30">I58+I59</f>
        <v>#VALUE!</v>
      </c>
      <c r="K58" s="361" t="e">
        <f t="shared" ref="K58" si="31">J58/F58</f>
        <v>#VALUE!</v>
      </c>
      <c r="L58" s="217"/>
      <c r="M58" s="221"/>
    </row>
    <row r="59" spans="1:13" x14ac:dyDescent="0.25">
      <c r="A59" s="388"/>
      <c r="B59" s="326"/>
      <c r="C59" s="362"/>
      <c r="D59" s="13">
        <f>MP!N31</f>
        <v>0</v>
      </c>
      <c r="E59" s="13">
        <f>MP!R29</f>
        <v>0</v>
      </c>
      <c r="F59" s="13">
        <f>MP!R30</f>
        <v>0</v>
      </c>
      <c r="G59" s="13"/>
      <c r="H59" s="13"/>
      <c r="I59" s="138">
        <f t="shared" si="1"/>
        <v>0</v>
      </c>
      <c r="J59" s="362"/>
      <c r="K59" s="362"/>
      <c r="L59" s="217"/>
      <c r="M59" s="221"/>
    </row>
    <row r="60" spans="1:13" x14ac:dyDescent="0.25">
      <c r="A60" s="388"/>
      <c r="B60" s="326"/>
      <c r="C60" s="306" t="s">
        <v>158</v>
      </c>
      <c r="D60" s="21">
        <f>MP!N35</f>
        <v>0</v>
      </c>
      <c r="E60" s="21" t="str">
        <f>MP!R33</f>
        <v>Azucar</v>
      </c>
      <c r="F60" s="21">
        <f>MP!R34</f>
        <v>62</v>
      </c>
      <c r="G60" s="21"/>
      <c r="H60" s="21"/>
      <c r="I60" s="136" t="e">
        <f t="shared" si="1"/>
        <v>#VALUE!</v>
      </c>
      <c r="J60" s="306" t="e">
        <f t="shared" ref="J60" si="32">I60+I61</f>
        <v>#VALUE!</v>
      </c>
      <c r="K60" s="306" t="e">
        <f t="shared" ref="K60" si="33">J60/F60</f>
        <v>#VALUE!</v>
      </c>
      <c r="L60" s="89"/>
      <c r="M60" s="221"/>
    </row>
    <row r="61" spans="1:13" x14ac:dyDescent="0.25">
      <c r="A61" s="388"/>
      <c r="B61" s="326"/>
      <c r="C61" s="353"/>
      <c r="D61" s="21">
        <f>MP!N38</f>
        <v>0</v>
      </c>
      <c r="E61" s="21">
        <f>MP!R36</f>
        <v>0</v>
      </c>
      <c r="F61" s="21">
        <f>MP!R37</f>
        <v>0</v>
      </c>
      <c r="G61" s="21"/>
      <c r="H61" s="21"/>
      <c r="I61" s="136">
        <f t="shared" si="1"/>
        <v>0</v>
      </c>
      <c r="J61" s="353"/>
      <c r="K61" s="353"/>
      <c r="L61" s="89"/>
      <c r="M61" s="221"/>
    </row>
    <row r="62" spans="1:13" x14ac:dyDescent="0.25">
      <c r="A62" s="388"/>
      <c r="B62" s="326"/>
      <c r="C62" s="363" t="s">
        <v>159</v>
      </c>
      <c r="D62" s="34">
        <f>MP!N42</f>
        <v>0</v>
      </c>
      <c r="E62" s="34" t="str">
        <f>MP!R40</f>
        <v>Aceite</v>
      </c>
      <c r="F62" s="34">
        <f>MP!R41</f>
        <v>48</v>
      </c>
      <c r="G62" s="34"/>
      <c r="H62" s="34"/>
      <c r="I62" s="139" t="e">
        <f t="shared" si="1"/>
        <v>#VALUE!</v>
      </c>
      <c r="J62" s="363" t="e">
        <f t="shared" ref="J62" si="34">I62+I63</f>
        <v>#VALUE!</v>
      </c>
      <c r="K62" s="363" t="e">
        <f t="shared" ref="K62" si="35">J62/F62</f>
        <v>#VALUE!</v>
      </c>
      <c r="L62" s="218"/>
      <c r="M62" s="221"/>
    </row>
    <row r="63" spans="1:13" x14ac:dyDescent="0.25">
      <c r="A63" s="389"/>
      <c r="B63" s="371"/>
      <c r="C63" s="364"/>
      <c r="D63" s="34">
        <f>MP!N45</f>
        <v>0</v>
      </c>
      <c r="E63" s="34">
        <f>MP!R43</f>
        <v>0</v>
      </c>
      <c r="F63" s="34">
        <f>MP!R44</f>
        <v>0</v>
      </c>
      <c r="G63" s="34"/>
      <c r="H63" s="34"/>
      <c r="I63" s="139">
        <f t="shared" si="1"/>
        <v>0</v>
      </c>
      <c r="J63" s="364"/>
      <c r="K63" s="364"/>
      <c r="L63" s="218"/>
      <c r="M63" s="221"/>
    </row>
    <row r="64" spans="1:13" ht="15" customHeight="1" x14ac:dyDescent="0.25">
      <c r="A64" s="309" t="s">
        <v>210</v>
      </c>
      <c r="B64" s="310" t="s">
        <v>132</v>
      </c>
      <c r="C64" s="330" t="s">
        <v>160</v>
      </c>
      <c r="D64" s="13">
        <f>MP!B53</f>
        <v>0</v>
      </c>
      <c r="E64" s="13">
        <f>MP!F51</f>
        <v>0</v>
      </c>
      <c r="F64" s="13">
        <f>MP!F52</f>
        <v>0</v>
      </c>
      <c r="G64" s="13"/>
      <c r="H64" s="13"/>
      <c r="I64" s="138">
        <f t="shared" si="1"/>
        <v>0</v>
      </c>
      <c r="J64" s="361">
        <f t="shared" ref="J64" si="36">I64+I65</f>
        <v>0</v>
      </c>
      <c r="K64" s="361" t="e">
        <f t="shared" ref="K64" si="37">J64/F64</f>
        <v>#DIV/0!</v>
      </c>
      <c r="L64" s="217"/>
      <c r="M64" s="221"/>
    </row>
    <row r="65" spans="1:13" x14ac:dyDescent="0.25">
      <c r="A65" s="309"/>
      <c r="B65" s="312"/>
      <c r="C65" s="332"/>
      <c r="D65" s="13">
        <f>MP!B56</f>
        <v>0</v>
      </c>
      <c r="E65" s="13">
        <f>MP!F54</f>
        <v>0</v>
      </c>
      <c r="F65" s="13">
        <f>MP!F55</f>
        <v>0</v>
      </c>
      <c r="G65" s="13"/>
      <c r="H65" s="13"/>
      <c r="I65" s="138">
        <f t="shared" si="1"/>
        <v>0</v>
      </c>
      <c r="J65" s="362"/>
      <c r="K65" s="362"/>
      <c r="L65" s="217"/>
      <c r="M65" s="221"/>
    </row>
    <row r="66" spans="1:13" x14ac:dyDescent="0.25">
      <c r="A66" s="309"/>
      <c r="B66" s="384" t="s">
        <v>133</v>
      </c>
      <c r="C66" s="318" t="s">
        <v>161</v>
      </c>
      <c r="D66" s="32">
        <f>MP!D53</f>
        <v>0</v>
      </c>
      <c r="E66" s="32" t="str">
        <f>MP!H51</f>
        <v>Chile pasilla</v>
      </c>
      <c r="F66" s="32">
        <f>MP!H52</f>
        <v>13.5</v>
      </c>
      <c r="G66" s="32"/>
      <c r="H66" s="32"/>
      <c r="I66" s="132" t="e">
        <f t="shared" si="1"/>
        <v>#VALUE!</v>
      </c>
      <c r="J66" s="386" t="e">
        <f t="shared" ref="J66" si="38">I66+I67</f>
        <v>#VALUE!</v>
      </c>
      <c r="K66" s="386" t="e">
        <f t="shared" ref="K66" si="39">J66/F66</f>
        <v>#VALUE!</v>
      </c>
      <c r="L66" s="214"/>
      <c r="M66" s="221"/>
    </row>
    <row r="67" spans="1:13" x14ac:dyDescent="0.25">
      <c r="A67" s="309"/>
      <c r="B67" s="390"/>
      <c r="C67" s="320"/>
      <c r="D67" s="32">
        <f>MP!D56</f>
        <v>0</v>
      </c>
      <c r="E67" s="32">
        <f>MP!H54</f>
        <v>0</v>
      </c>
      <c r="F67" s="32">
        <f>MP!H55</f>
        <v>0</v>
      </c>
      <c r="G67" s="32"/>
      <c r="H67" s="32"/>
      <c r="I67" s="132">
        <f t="shared" si="1"/>
        <v>0</v>
      </c>
      <c r="J67" s="342"/>
      <c r="K67" s="342"/>
      <c r="L67" s="214"/>
      <c r="M67" s="221"/>
    </row>
    <row r="68" spans="1:13" x14ac:dyDescent="0.25">
      <c r="A68" s="309"/>
      <c r="B68" s="390"/>
      <c r="C68" s="384" t="s">
        <v>208</v>
      </c>
      <c r="D68" s="34">
        <f>MP!D67</f>
        <v>0</v>
      </c>
      <c r="E68" s="34" t="str">
        <f>MP!H65</f>
        <v>Chile pasilla</v>
      </c>
      <c r="F68" s="34">
        <f>MP!H66</f>
        <v>50</v>
      </c>
      <c r="G68" s="34"/>
      <c r="H68" s="34"/>
      <c r="I68" s="139" t="e">
        <f t="shared" si="1"/>
        <v>#VALUE!</v>
      </c>
      <c r="J68" s="363" t="e">
        <f t="shared" ref="J68" si="40">I68+I69</f>
        <v>#VALUE!</v>
      </c>
      <c r="K68" s="363" t="e">
        <f t="shared" ref="K68" si="41">J68/F68</f>
        <v>#VALUE!</v>
      </c>
      <c r="L68" s="218"/>
      <c r="M68" s="221"/>
    </row>
    <row r="69" spans="1:13" x14ac:dyDescent="0.25">
      <c r="A69" s="309"/>
      <c r="B69" s="390"/>
      <c r="C69" s="385"/>
      <c r="D69" s="34">
        <f>MP!D70</f>
        <v>0</v>
      </c>
      <c r="E69" s="34">
        <f>MP!H68</f>
        <v>0</v>
      </c>
      <c r="F69" s="34">
        <f>MP!H69</f>
        <v>0</v>
      </c>
      <c r="G69" s="34"/>
      <c r="H69" s="34"/>
      <c r="I69" s="139">
        <f t="shared" si="1"/>
        <v>0</v>
      </c>
      <c r="J69" s="364"/>
      <c r="K69" s="364"/>
      <c r="L69" s="218"/>
      <c r="M69" s="221"/>
    </row>
    <row r="70" spans="1:13" x14ac:dyDescent="0.25">
      <c r="A70" s="309"/>
      <c r="B70" s="390"/>
      <c r="C70" s="377" t="s">
        <v>162</v>
      </c>
      <c r="D70" s="24">
        <f>MP!D74</f>
        <v>0</v>
      </c>
      <c r="E70" s="24" t="str">
        <f>MP!H72</f>
        <v>Chile pasilla</v>
      </c>
      <c r="F70" s="24">
        <f>MP!H73</f>
        <v>50</v>
      </c>
      <c r="G70" s="24"/>
      <c r="H70" s="24"/>
      <c r="I70" s="133" t="e">
        <f t="shared" si="1"/>
        <v>#VALUE!</v>
      </c>
      <c r="J70" s="365" t="e">
        <f t="shared" ref="J70:J96" si="42">I70+I71</f>
        <v>#VALUE!</v>
      </c>
      <c r="K70" s="365" t="e">
        <f t="shared" ref="K70" si="43">J70/F70</f>
        <v>#VALUE!</v>
      </c>
      <c r="L70" s="215"/>
      <c r="M70" s="221"/>
    </row>
    <row r="71" spans="1:13" x14ac:dyDescent="0.25">
      <c r="A71" s="309"/>
      <c r="B71" s="385"/>
      <c r="C71" s="379"/>
      <c r="D71" s="24">
        <f>MP!D77</f>
        <v>0</v>
      </c>
      <c r="E71" s="24">
        <f>MP!H75</f>
        <v>0</v>
      </c>
      <c r="F71" s="24">
        <f>MP!H76</f>
        <v>0</v>
      </c>
      <c r="G71" s="24"/>
      <c r="H71" s="24"/>
      <c r="I71" s="133">
        <f t="shared" si="1"/>
        <v>0</v>
      </c>
      <c r="J71" s="366"/>
      <c r="K71" s="366"/>
      <c r="L71" s="215"/>
      <c r="M71" s="221"/>
    </row>
    <row r="72" spans="1:13" x14ac:dyDescent="0.25">
      <c r="A72" s="309"/>
      <c r="B72" s="330" t="s">
        <v>134</v>
      </c>
      <c r="C72" s="333" t="s">
        <v>163</v>
      </c>
      <c r="D72" s="28" t="str">
        <f>MP!F53</f>
        <v>-</v>
      </c>
      <c r="E72" s="28" t="str">
        <f>MP!J51</f>
        <v>Chile pasilla</v>
      </c>
      <c r="F72" s="28">
        <f>MP!J52</f>
        <v>29</v>
      </c>
      <c r="G72" s="28"/>
      <c r="H72" s="28"/>
      <c r="I72" s="90" t="e">
        <f t="shared" si="1"/>
        <v>#VALUE!</v>
      </c>
      <c r="J72" s="367" t="e">
        <f t="shared" si="42"/>
        <v>#VALUE!</v>
      </c>
      <c r="K72" s="367" t="e">
        <f t="shared" ref="K72" si="44">J72/F72</f>
        <v>#VALUE!</v>
      </c>
      <c r="L72" s="213"/>
      <c r="M72" s="221"/>
    </row>
    <row r="73" spans="1:13" x14ac:dyDescent="0.25">
      <c r="A73" s="309"/>
      <c r="B73" s="331"/>
      <c r="C73" s="335"/>
      <c r="D73" s="28">
        <f>MP!F56</f>
        <v>0</v>
      </c>
      <c r="E73" s="28">
        <f>MP!J54</f>
        <v>0</v>
      </c>
      <c r="F73" s="28">
        <f>MP!J55</f>
        <v>0</v>
      </c>
      <c r="G73" s="28"/>
      <c r="H73" s="28"/>
      <c r="I73" s="90">
        <f t="shared" si="1"/>
        <v>0</v>
      </c>
      <c r="J73" s="368"/>
      <c r="K73" s="368"/>
      <c r="L73" s="213"/>
      <c r="M73" s="221"/>
    </row>
    <row r="74" spans="1:13" x14ac:dyDescent="0.25">
      <c r="A74" s="309"/>
      <c r="B74" s="331"/>
      <c r="C74" s="325" t="s">
        <v>209</v>
      </c>
      <c r="D74" s="21">
        <f>MP!F74</f>
        <v>0</v>
      </c>
      <c r="E74" s="21" t="str">
        <f>MP!J72</f>
        <v>Chile pasilla</v>
      </c>
      <c r="F74" s="21">
        <f>MP!J73</f>
        <v>28</v>
      </c>
      <c r="G74" s="21"/>
      <c r="H74" s="21"/>
      <c r="I74" s="136" t="e">
        <f t="shared" si="1"/>
        <v>#VALUE!</v>
      </c>
      <c r="J74" s="306" t="e">
        <f t="shared" si="42"/>
        <v>#VALUE!</v>
      </c>
      <c r="K74" s="306" t="e">
        <f t="shared" ref="K74" si="45">J74/F74</f>
        <v>#VALUE!</v>
      </c>
      <c r="L74" s="89"/>
      <c r="M74" s="221"/>
    </row>
    <row r="75" spans="1:13" x14ac:dyDescent="0.25">
      <c r="A75" s="309"/>
      <c r="B75" s="332"/>
      <c r="C75" s="371"/>
      <c r="D75" s="21">
        <f>MP!F77</f>
        <v>0</v>
      </c>
      <c r="E75" s="21">
        <f>MP!J75</f>
        <v>0</v>
      </c>
      <c r="F75" s="21">
        <f>MP!J76</f>
        <v>0</v>
      </c>
      <c r="G75" s="21"/>
      <c r="H75" s="21"/>
      <c r="I75" s="136">
        <f t="shared" si="1"/>
        <v>0</v>
      </c>
      <c r="J75" s="353"/>
      <c r="K75" s="353"/>
      <c r="L75" s="89"/>
      <c r="M75" s="221"/>
    </row>
    <row r="76" spans="1:13" x14ac:dyDescent="0.25">
      <c r="A76" s="309"/>
      <c r="B76" s="318" t="s">
        <v>135</v>
      </c>
      <c r="C76" s="361" t="s">
        <v>164</v>
      </c>
      <c r="D76" s="13" t="str">
        <f>MP!H53</f>
        <v>-</v>
      </c>
      <c r="E76" s="13" t="str">
        <f>MP!L51</f>
        <v>Chipotle</v>
      </c>
      <c r="F76" s="13">
        <f>MP!L52</f>
        <v>830</v>
      </c>
      <c r="G76" s="13"/>
      <c r="H76" s="13"/>
      <c r="I76" s="138" t="e">
        <f t="shared" si="1"/>
        <v>#VALUE!</v>
      </c>
      <c r="J76" s="361" t="e">
        <f t="shared" si="42"/>
        <v>#VALUE!</v>
      </c>
      <c r="K76" s="361" t="e">
        <f t="shared" ref="K76" si="46">J76/F76</f>
        <v>#VALUE!</v>
      </c>
      <c r="L76" s="217"/>
      <c r="M76" s="221"/>
    </row>
    <row r="77" spans="1:13" x14ac:dyDescent="0.25">
      <c r="A77" s="309"/>
      <c r="B77" s="320"/>
      <c r="C77" s="362"/>
      <c r="D77" s="13">
        <f>MP!H56</f>
        <v>0</v>
      </c>
      <c r="E77" s="13">
        <f>MP!L54</f>
        <v>0</v>
      </c>
      <c r="F77" s="13">
        <f>MP!L55</f>
        <v>0</v>
      </c>
      <c r="G77" s="13"/>
      <c r="H77" s="13"/>
      <c r="I77" s="138">
        <f t="shared" si="1"/>
        <v>0</v>
      </c>
      <c r="J77" s="362"/>
      <c r="K77" s="362"/>
      <c r="L77" s="217"/>
      <c r="M77" s="221"/>
    </row>
    <row r="78" spans="1:13" x14ac:dyDescent="0.25">
      <c r="A78" s="309"/>
      <c r="B78" s="377" t="s">
        <v>136</v>
      </c>
      <c r="C78" s="306" t="s">
        <v>165</v>
      </c>
      <c r="D78" s="21" t="str">
        <f>MP!J53</f>
        <v>-</v>
      </c>
      <c r="E78" s="21" t="str">
        <f>MP!N51</f>
        <v>Chipotle</v>
      </c>
      <c r="F78" s="21">
        <f>MP!N52</f>
        <v>830</v>
      </c>
      <c r="G78" s="21"/>
      <c r="H78" s="21"/>
      <c r="I78" s="136" t="e">
        <f t="shared" si="1"/>
        <v>#VALUE!</v>
      </c>
      <c r="J78" s="306" t="e">
        <f t="shared" si="42"/>
        <v>#VALUE!</v>
      </c>
      <c r="K78" s="306" t="e">
        <f t="shared" ref="K78" si="47">J78/F78</f>
        <v>#VALUE!</v>
      </c>
      <c r="L78" s="89"/>
      <c r="M78" s="221"/>
    </row>
    <row r="79" spans="1:13" x14ac:dyDescent="0.25">
      <c r="A79" s="309"/>
      <c r="B79" s="378"/>
      <c r="C79" s="353"/>
      <c r="D79" s="21">
        <f>MP!J56</f>
        <v>0</v>
      </c>
      <c r="E79" s="21">
        <f>MP!N54</f>
        <v>0</v>
      </c>
      <c r="F79" s="21">
        <f>MP!N55</f>
        <v>0</v>
      </c>
      <c r="G79" s="21"/>
      <c r="H79" s="21"/>
      <c r="I79" s="136">
        <f t="shared" si="1"/>
        <v>0</v>
      </c>
      <c r="J79" s="353"/>
      <c r="K79" s="353"/>
      <c r="L79" s="89"/>
      <c r="M79" s="221"/>
    </row>
    <row r="80" spans="1:13" x14ac:dyDescent="0.25">
      <c r="A80" s="309"/>
      <c r="B80" s="378"/>
      <c r="C80" s="363" t="s">
        <v>166</v>
      </c>
      <c r="D80" s="34">
        <f>MP!J60</f>
        <v>0</v>
      </c>
      <c r="E80" s="34" t="str">
        <f>MP!N58</f>
        <v>Chipotle</v>
      </c>
      <c r="F80" s="34">
        <f>MP!N59</f>
        <v>840</v>
      </c>
      <c r="G80" s="34"/>
      <c r="H80" s="34"/>
      <c r="I80" s="139" t="e">
        <f t="shared" si="1"/>
        <v>#VALUE!</v>
      </c>
      <c r="J80" s="363" t="e">
        <f t="shared" si="42"/>
        <v>#VALUE!</v>
      </c>
      <c r="K80" s="363" t="e">
        <f t="shared" ref="K80" si="48">J80/F80</f>
        <v>#VALUE!</v>
      </c>
      <c r="L80" s="218"/>
      <c r="M80" s="221"/>
    </row>
    <row r="81" spans="1:13" x14ac:dyDescent="0.25">
      <c r="A81" s="309"/>
      <c r="B81" s="379"/>
      <c r="C81" s="364"/>
      <c r="D81" s="34">
        <f>MP!J63</f>
        <v>0</v>
      </c>
      <c r="E81" s="34">
        <f>MP!N61</f>
        <v>0</v>
      </c>
      <c r="F81" s="34">
        <f>MP!N62</f>
        <v>0</v>
      </c>
      <c r="G81" s="34"/>
      <c r="H81" s="34"/>
      <c r="I81" s="139">
        <f t="shared" si="1"/>
        <v>0</v>
      </c>
      <c r="J81" s="364"/>
      <c r="K81" s="364"/>
      <c r="L81" s="218"/>
      <c r="M81" s="221"/>
    </row>
    <row r="82" spans="1:13" x14ac:dyDescent="0.25">
      <c r="A82" s="309"/>
      <c r="B82" s="327" t="s">
        <v>137</v>
      </c>
      <c r="C82" s="372" t="s">
        <v>167</v>
      </c>
      <c r="D82" s="43" t="str">
        <f>MP!L53</f>
        <v>-</v>
      </c>
      <c r="E82" s="43" t="str">
        <f>MP!P51</f>
        <v>Platano</v>
      </c>
      <c r="F82" s="43">
        <f>MP!P52</f>
        <v>25</v>
      </c>
      <c r="G82" s="43"/>
      <c r="H82" s="43"/>
      <c r="I82" s="141" t="e">
        <f t="shared" si="1"/>
        <v>#VALUE!</v>
      </c>
      <c r="J82" s="372" t="e">
        <f t="shared" si="42"/>
        <v>#VALUE!</v>
      </c>
      <c r="K82" s="372" t="e">
        <f t="shared" ref="K82" si="49">J82/F82</f>
        <v>#VALUE!</v>
      </c>
      <c r="L82" s="219"/>
      <c r="M82" s="221"/>
    </row>
    <row r="83" spans="1:13" x14ac:dyDescent="0.25">
      <c r="A83" s="309"/>
      <c r="B83" s="328"/>
      <c r="C83" s="373"/>
      <c r="D83" s="43">
        <f>MP!L56</f>
        <v>0</v>
      </c>
      <c r="E83" s="43">
        <f>MP!P54</f>
        <v>0</v>
      </c>
      <c r="F83" s="43">
        <f>MP!P55</f>
        <v>0</v>
      </c>
      <c r="G83" s="43"/>
      <c r="H83" s="43"/>
      <c r="I83" s="141">
        <f t="shared" si="1"/>
        <v>0</v>
      </c>
      <c r="J83" s="373"/>
      <c r="K83" s="373"/>
      <c r="L83" s="219"/>
      <c r="M83" s="221"/>
    </row>
    <row r="84" spans="1:13" x14ac:dyDescent="0.25">
      <c r="A84" s="309"/>
      <c r="B84" s="328"/>
      <c r="C84" s="306" t="s">
        <v>168</v>
      </c>
      <c r="D84" s="21">
        <f>MP!L60</f>
        <v>0</v>
      </c>
      <c r="E84" s="21" t="str">
        <f>MP!P58</f>
        <v xml:space="preserve">Chipotle </v>
      </c>
      <c r="F84" s="21">
        <f>MP!P59</f>
        <v>17</v>
      </c>
      <c r="G84" s="21"/>
      <c r="H84" s="21"/>
      <c r="I84" s="136" t="e">
        <f t="shared" si="1"/>
        <v>#VALUE!</v>
      </c>
      <c r="J84" s="306" t="e">
        <f t="shared" si="42"/>
        <v>#VALUE!</v>
      </c>
      <c r="K84" s="306" t="e">
        <f t="shared" ref="K84" si="50">J84/F84</f>
        <v>#VALUE!</v>
      </c>
      <c r="L84" s="89"/>
      <c r="M84" s="221"/>
    </row>
    <row r="85" spans="1:13" x14ac:dyDescent="0.25">
      <c r="A85" s="309"/>
      <c r="B85" s="328"/>
      <c r="C85" s="353"/>
      <c r="D85" s="21">
        <f>MP!L63</f>
        <v>0</v>
      </c>
      <c r="E85" s="21">
        <f>MP!P61</f>
        <v>0</v>
      </c>
      <c r="F85" s="21">
        <f>MP!P62</f>
        <v>0</v>
      </c>
      <c r="G85" s="21"/>
      <c r="H85" s="21"/>
      <c r="I85" s="136">
        <f t="shared" si="1"/>
        <v>0</v>
      </c>
      <c r="J85" s="353"/>
      <c r="K85" s="353"/>
      <c r="L85" s="89"/>
      <c r="M85" s="221"/>
    </row>
    <row r="86" spans="1:13" x14ac:dyDescent="0.25">
      <c r="A86" s="309"/>
      <c r="B86" s="328"/>
      <c r="C86" s="365" t="s">
        <v>169</v>
      </c>
      <c r="D86" s="24">
        <f>MP!L67</f>
        <v>0</v>
      </c>
      <c r="E86" s="24" t="str">
        <f>MP!P65</f>
        <v>Chipotle 
Curcuma</v>
      </c>
      <c r="F86" s="24">
        <f>MP!P66</f>
        <v>483</v>
      </c>
      <c r="G86" s="24"/>
      <c r="H86" s="24"/>
      <c r="I86" s="133" t="e">
        <f t="shared" si="1"/>
        <v>#VALUE!</v>
      </c>
      <c r="J86" s="365" t="e">
        <f t="shared" si="42"/>
        <v>#VALUE!</v>
      </c>
      <c r="K86" s="365" t="e">
        <f t="shared" ref="K86" si="51">J86/F86</f>
        <v>#VALUE!</v>
      </c>
      <c r="L86" s="215"/>
      <c r="M86" s="221"/>
    </row>
    <row r="87" spans="1:13" x14ac:dyDescent="0.25">
      <c r="A87" s="309"/>
      <c r="B87" s="328"/>
      <c r="C87" s="366"/>
      <c r="D87" s="24">
        <f>MP!L70</f>
        <v>0</v>
      </c>
      <c r="E87" s="24">
        <f>MP!P68</f>
        <v>0</v>
      </c>
      <c r="F87" s="24">
        <f>MP!P69</f>
        <v>0</v>
      </c>
      <c r="G87" s="24"/>
      <c r="H87" s="24"/>
      <c r="I87" s="133">
        <f t="shared" si="1"/>
        <v>0</v>
      </c>
      <c r="J87" s="366"/>
      <c r="K87" s="366"/>
      <c r="L87" s="215"/>
      <c r="M87" s="221"/>
    </row>
    <row r="88" spans="1:13" x14ac:dyDescent="0.25">
      <c r="A88" s="309"/>
      <c r="B88" s="328"/>
      <c r="C88" s="361" t="s">
        <v>170</v>
      </c>
      <c r="D88" s="13">
        <f>MP!L74</f>
        <v>0</v>
      </c>
      <c r="E88" s="13" t="str">
        <f>MP!P72</f>
        <v>maseca</v>
      </c>
      <c r="F88" s="13">
        <f>MP!P73</f>
        <v>200</v>
      </c>
      <c r="G88" s="13"/>
      <c r="H88" s="13"/>
      <c r="I88" s="138" t="e">
        <f t="shared" si="1"/>
        <v>#VALUE!</v>
      </c>
      <c r="J88" s="361" t="e">
        <f t="shared" si="42"/>
        <v>#VALUE!</v>
      </c>
      <c r="K88" s="361" t="e">
        <f t="shared" ref="K88" si="52">J88/F88</f>
        <v>#VALUE!</v>
      </c>
      <c r="L88" s="217"/>
      <c r="M88" s="221"/>
    </row>
    <row r="89" spans="1:13" x14ac:dyDescent="0.25">
      <c r="A89" s="309"/>
      <c r="B89" s="329"/>
      <c r="C89" s="362"/>
      <c r="D89" s="13">
        <f>MP!L77</f>
        <v>0</v>
      </c>
      <c r="E89" s="13">
        <f>MP!P75</f>
        <v>0</v>
      </c>
      <c r="F89" s="13">
        <f>MP!P76</f>
        <v>0</v>
      </c>
      <c r="G89" s="13"/>
      <c r="H89" s="13"/>
      <c r="I89" s="138">
        <f t="shared" si="1"/>
        <v>0</v>
      </c>
      <c r="J89" s="362"/>
      <c r="K89" s="362"/>
      <c r="L89" s="217"/>
      <c r="M89" s="221"/>
    </row>
    <row r="90" spans="1:13" x14ac:dyDescent="0.25">
      <c r="A90" s="309"/>
      <c r="B90" s="357" t="s">
        <v>138</v>
      </c>
      <c r="C90" s="365" t="s">
        <v>171</v>
      </c>
      <c r="D90" s="24" t="str">
        <f>MP!N53</f>
        <v>-</v>
      </c>
      <c r="E90" s="24" t="str">
        <f>MP!R51</f>
        <v>Platano</v>
      </c>
      <c r="F90" s="24">
        <f>MP!R52</f>
        <v>25</v>
      </c>
      <c r="G90" s="24"/>
      <c r="H90" s="24"/>
      <c r="I90" s="133" t="e">
        <f t="shared" si="1"/>
        <v>#VALUE!</v>
      </c>
      <c r="J90" s="365" t="e">
        <f t="shared" si="42"/>
        <v>#VALUE!</v>
      </c>
      <c r="K90" s="365" t="e">
        <f t="shared" ref="K90" si="53">J90/F90</f>
        <v>#VALUE!</v>
      </c>
      <c r="L90" s="215"/>
      <c r="M90" s="221"/>
    </row>
    <row r="91" spans="1:13" x14ac:dyDescent="0.25">
      <c r="A91" s="309"/>
      <c r="B91" s="357"/>
      <c r="C91" s="366"/>
      <c r="D91" s="24">
        <f>MP!N56</f>
        <v>0</v>
      </c>
      <c r="E91" s="24">
        <f>MP!R54</f>
        <v>0</v>
      </c>
      <c r="F91" s="24">
        <f>MP!R55</f>
        <v>0</v>
      </c>
      <c r="G91" s="24"/>
      <c r="H91" s="24"/>
      <c r="I91" s="133">
        <f t="shared" si="1"/>
        <v>0</v>
      </c>
      <c r="J91" s="366"/>
      <c r="K91" s="366"/>
      <c r="L91" s="215"/>
      <c r="M91" s="221"/>
    </row>
    <row r="92" spans="1:13" x14ac:dyDescent="0.25">
      <c r="A92" s="309"/>
      <c r="B92" s="357"/>
      <c r="C92" s="363" t="s">
        <v>172</v>
      </c>
      <c r="D92" s="34" t="str">
        <f>MP!N60</f>
        <v>-</v>
      </c>
      <c r="E92" s="34" t="str">
        <f>MP!R58</f>
        <v>Platano</v>
      </c>
      <c r="F92" s="34">
        <f>MP!R59</f>
        <v>60</v>
      </c>
      <c r="G92" s="34"/>
      <c r="H92" s="34"/>
      <c r="I92" s="139" t="e">
        <f t="shared" si="1"/>
        <v>#VALUE!</v>
      </c>
      <c r="J92" s="363" t="e">
        <f t="shared" si="42"/>
        <v>#VALUE!</v>
      </c>
      <c r="K92" s="363" t="e">
        <f t="shared" ref="K92" si="54">J92/F92</f>
        <v>#VALUE!</v>
      </c>
      <c r="L92" s="218"/>
      <c r="M92" s="221"/>
    </row>
    <row r="93" spans="1:13" x14ac:dyDescent="0.25">
      <c r="A93" s="309"/>
      <c r="B93" s="357"/>
      <c r="C93" s="364"/>
      <c r="D93" s="34">
        <f>MP!N63</f>
        <v>0</v>
      </c>
      <c r="E93" s="34">
        <f>MP!R61</f>
        <v>0</v>
      </c>
      <c r="F93" s="34">
        <f>MP!R62</f>
        <v>0</v>
      </c>
      <c r="G93" s="34"/>
      <c r="H93" s="34"/>
      <c r="I93" s="139">
        <f t="shared" si="1"/>
        <v>0</v>
      </c>
      <c r="J93" s="364"/>
      <c r="K93" s="364"/>
      <c r="L93" s="218"/>
      <c r="M93" s="221"/>
    </row>
    <row r="94" spans="1:13" x14ac:dyDescent="0.25">
      <c r="A94" s="309"/>
      <c r="B94" s="357"/>
      <c r="C94" s="386" t="s">
        <v>173</v>
      </c>
      <c r="D94" s="32">
        <f>MP!N67</f>
        <v>0</v>
      </c>
      <c r="E94" s="32" t="str">
        <f>MP!R65</f>
        <v>Pepita</v>
      </c>
      <c r="F94" s="32">
        <f>MP!R66</f>
        <v>55</v>
      </c>
      <c r="G94" s="32"/>
      <c r="H94" s="32"/>
      <c r="I94" s="132" t="e">
        <f t="shared" si="1"/>
        <v>#VALUE!</v>
      </c>
      <c r="J94" s="386" t="e">
        <f t="shared" si="42"/>
        <v>#VALUE!</v>
      </c>
      <c r="K94" s="386" t="e">
        <f t="shared" ref="K94" si="55">J94/F94</f>
        <v>#VALUE!</v>
      </c>
      <c r="L94" s="214"/>
      <c r="M94" s="221"/>
    </row>
    <row r="95" spans="1:13" x14ac:dyDescent="0.25">
      <c r="A95" s="309"/>
      <c r="B95" s="357"/>
      <c r="C95" s="342"/>
      <c r="D95" s="32">
        <f>MP!N70</f>
        <v>0</v>
      </c>
      <c r="E95" s="32">
        <f>MP!R68</f>
        <v>0</v>
      </c>
      <c r="F95" s="32">
        <f>MP!R69</f>
        <v>0</v>
      </c>
      <c r="G95" s="32"/>
      <c r="H95" s="32"/>
      <c r="I95" s="132">
        <f t="shared" si="1"/>
        <v>0</v>
      </c>
      <c r="J95" s="342"/>
      <c r="K95" s="342"/>
      <c r="L95" s="214"/>
      <c r="M95" s="221"/>
    </row>
    <row r="96" spans="1:13" x14ac:dyDescent="0.25">
      <c r="A96" s="309"/>
      <c r="B96" s="357"/>
      <c r="C96" s="367" t="s">
        <v>174</v>
      </c>
      <c r="D96" s="28">
        <f>MP!N74</f>
        <v>0</v>
      </c>
      <c r="E96" s="28" t="str">
        <f>MP!R72</f>
        <v>-</v>
      </c>
      <c r="F96" s="28" t="str">
        <f>MP!R73</f>
        <v>-</v>
      </c>
      <c r="G96" s="28"/>
      <c r="H96" s="28"/>
      <c r="I96" s="90" t="e">
        <f t="shared" si="1"/>
        <v>#VALUE!</v>
      </c>
      <c r="J96" s="367" t="e">
        <f t="shared" si="42"/>
        <v>#VALUE!</v>
      </c>
      <c r="K96" s="367" t="e">
        <f>J96/F96</f>
        <v>#VALUE!</v>
      </c>
      <c r="L96" s="213"/>
      <c r="M96" s="221"/>
    </row>
    <row r="97" spans="1:13" x14ac:dyDescent="0.25">
      <c r="A97" s="309"/>
      <c r="B97" s="357"/>
      <c r="C97" s="368"/>
      <c r="D97" s="28">
        <f>MP!N77</f>
        <v>0</v>
      </c>
      <c r="E97" s="28">
        <f>MP!R75</f>
        <v>0</v>
      </c>
      <c r="F97" s="28">
        <f>MP!R76</f>
        <v>0</v>
      </c>
      <c r="G97" s="28"/>
      <c r="H97" s="28"/>
      <c r="I97" s="90">
        <f t="shared" ref="I97" si="56">(E97*F97)-H97</f>
        <v>0</v>
      </c>
      <c r="J97" s="368"/>
      <c r="K97" s="368"/>
      <c r="L97" s="213"/>
      <c r="M97" s="221"/>
    </row>
    <row r="99" spans="1:13" ht="45" customHeight="1" x14ac:dyDescent="0.25">
      <c r="A99" s="370" t="s">
        <v>338</v>
      </c>
      <c r="B99" s="140" t="s">
        <v>117</v>
      </c>
      <c r="C99" s="140" t="s">
        <v>342</v>
      </c>
      <c r="D99" s="195" t="s">
        <v>14</v>
      </c>
      <c r="E99" s="140" t="s">
        <v>89</v>
      </c>
      <c r="F99" s="140" t="s">
        <v>119</v>
      </c>
      <c r="G99" s="140" t="s">
        <v>206</v>
      </c>
      <c r="H99" s="140" t="s">
        <v>268</v>
      </c>
      <c r="I99" s="140" t="s">
        <v>343</v>
      </c>
      <c r="J99" s="196" t="s">
        <v>212</v>
      </c>
      <c r="K99" s="131" t="s">
        <v>344</v>
      </c>
      <c r="L99" s="211" t="s">
        <v>121</v>
      </c>
      <c r="M99" s="223"/>
    </row>
    <row r="100" spans="1:13" x14ac:dyDescent="0.25">
      <c r="A100" s="370"/>
      <c r="B100" s="359" t="s">
        <v>272</v>
      </c>
      <c r="C100" s="289" t="s">
        <v>276</v>
      </c>
      <c r="D100" s="21">
        <f>MP!$F$87</f>
        <v>0</v>
      </c>
      <c r="E100" s="21">
        <f>MP!F84</f>
        <v>0</v>
      </c>
      <c r="F100" s="21">
        <f>MP!F85</f>
        <v>0</v>
      </c>
      <c r="G100" s="21"/>
      <c r="H100" s="21">
        <f>MP!F86</f>
        <v>0</v>
      </c>
      <c r="I100" s="21"/>
      <c r="J100" s="21">
        <f>(F100*G100)+H100-I100</f>
        <v>0</v>
      </c>
      <c r="K100" s="306">
        <f>J100+J101</f>
        <v>0</v>
      </c>
      <c r="L100" s="89"/>
      <c r="M100" s="221"/>
    </row>
    <row r="101" spans="1:13" x14ac:dyDescent="0.25">
      <c r="A101" s="370"/>
      <c r="B101" s="359"/>
      <c r="C101" s="289"/>
      <c r="D101" s="21">
        <f>MP!$F$91</f>
        <v>0</v>
      </c>
      <c r="E101" s="21">
        <f>MP!F88</f>
        <v>0</v>
      </c>
      <c r="F101" s="21">
        <f>MP!F89</f>
        <v>0</v>
      </c>
      <c r="G101" s="21"/>
      <c r="H101" s="21">
        <f>MP!F90</f>
        <v>0</v>
      </c>
      <c r="I101" s="21"/>
      <c r="J101" s="21">
        <f t="shared" ref="J101:J123" si="57">(F101*G101)+H101-I101</f>
        <v>0</v>
      </c>
      <c r="K101" s="353"/>
      <c r="L101" s="89"/>
      <c r="M101" s="221"/>
    </row>
    <row r="102" spans="1:13" x14ac:dyDescent="0.25">
      <c r="A102" s="370"/>
      <c r="B102" s="359"/>
      <c r="C102" s="299" t="s">
        <v>281</v>
      </c>
      <c r="D102" s="24">
        <f>MP!$F$96</f>
        <v>0</v>
      </c>
      <c r="E102" s="24">
        <f>MP!F93</f>
        <v>0</v>
      </c>
      <c r="F102" s="24">
        <f>MP!F94</f>
        <v>0</v>
      </c>
      <c r="G102" s="24"/>
      <c r="H102" s="24">
        <f>MP!F95</f>
        <v>0</v>
      </c>
      <c r="I102" s="24"/>
      <c r="J102" s="24">
        <f t="shared" si="57"/>
        <v>0</v>
      </c>
      <c r="K102" s="365">
        <f>J102+J103</f>
        <v>0</v>
      </c>
      <c r="L102" s="215"/>
      <c r="M102" s="221"/>
    </row>
    <row r="103" spans="1:13" x14ac:dyDescent="0.25">
      <c r="A103" s="370"/>
      <c r="B103" s="359"/>
      <c r="C103" s="299"/>
      <c r="D103" s="24">
        <f>MP!$F$100</f>
        <v>0</v>
      </c>
      <c r="E103" s="24">
        <f>MP!F97</f>
        <v>0</v>
      </c>
      <c r="F103" s="24">
        <f>MP!F98</f>
        <v>0</v>
      </c>
      <c r="G103" s="24"/>
      <c r="H103" s="24">
        <f>MP!F99</f>
        <v>0</v>
      </c>
      <c r="I103" s="24"/>
      <c r="J103" s="24">
        <f t="shared" si="57"/>
        <v>0</v>
      </c>
      <c r="K103" s="366"/>
      <c r="L103" s="215"/>
      <c r="M103" s="221"/>
    </row>
    <row r="104" spans="1:13" x14ac:dyDescent="0.25">
      <c r="A104" s="370"/>
      <c r="B104" s="359"/>
      <c r="C104" s="300" t="s">
        <v>285</v>
      </c>
      <c r="D104" s="18">
        <f>MP!$F$105</f>
        <v>0</v>
      </c>
      <c r="E104" s="18">
        <f>MP!F102</f>
        <v>0</v>
      </c>
      <c r="F104" s="18">
        <f>MP!F103</f>
        <v>0</v>
      </c>
      <c r="G104" s="18"/>
      <c r="H104" s="18">
        <f>MP!F104</f>
        <v>0</v>
      </c>
      <c r="I104" s="18"/>
      <c r="J104" s="34">
        <f t="shared" si="57"/>
        <v>0</v>
      </c>
      <c r="K104" s="382">
        <f t="shared" ref="K104" si="58">J104+J105</f>
        <v>0</v>
      </c>
      <c r="L104" s="216"/>
      <c r="M104" s="221"/>
    </row>
    <row r="105" spans="1:13" x14ac:dyDescent="0.25">
      <c r="A105" s="370"/>
      <c r="B105" s="359"/>
      <c r="C105" s="300"/>
      <c r="D105" s="18">
        <f>MP!$F$109</f>
        <v>0</v>
      </c>
      <c r="E105" s="18">
        <f>MP!F106</f>
        <v>0</v>
      </c>
      <c r="F105" s="18">
        <f>MP!F107</f>
        <v>0</v>
      </c>
      <c r="G105" s="18"/>
      <c r="H105" s="18">
        <f>MP!F108</f>
        <v>0</v>
      </c>
      <c r="I105" s="18"/>
      <c r="J105" s="34">
        <f t="shared" si="57"/>
        <v>0</v>
      </c>
      <c r="K105" s="383"/>
      <c r="L105" s="216"/>
      <c r="M105" s="221"/>
    </row>
    <row r="106" spans="1:13" x14ac:dyDescent="0.25">
      <c r="A106" s="370"/>
      <c r="B106" s="357" t="s">
        <v>273</v>
      </c>
      <c r="C106" s="298" t="s">
        <v>277</v>
      </c>
      <c r="D106" s="13">
        <f>MP!$H$87</f>
        <v>0</v>
      </c>
      <c r="E106" s="13">
        <f>MP!H84</f>
        <v>0</v>
      </c>
      <c r="F106" s="13">
        <f>MP!O85</f>
        <v>0</v>
      </c>
      <c r="G106" s="13"/>
      <c r="H106" s="13">
        <f>MP!H86</f>
        <v>0</v>
      </c>
      <c r="I106" s="13"/>
      <c r="J106" s="13">
        <f t="shared" si="57"/>
        <v>0</v>
      </c>
      <c r="K106" s="361">
        <f t="shared" ref="K106" si="59">J106+J107</f>
        <v>0</v>
      </c>
      <c r="L106" s="217"/>
      <c r="M106" s="221"/>
    </row>
    <row r="107" spans="1:13" x14ac:dyDescent="0.25">
      <c r="A107" s="370"/>
      <c r="B107" s="357"/>
      <c r="C107" s="298"/>
      <c r="D107" s="13">
        <f>MP!$H$91</f>
        <v>0</v>
      </c>
      <c r="E107" s="13">
        <f>MP!H88</f>
        <v>0</v>
      </c>
      <c r="F107" s="13">
        <f>MP!H89</f>
        <v>0</v>
      </c>
      <c r="G107" s="13"/>
      <c r="H107" s="13">
        <f>MP!H90</f>
        <v>0</v>
      </c>
      <c r="I107" s="13"/>
      <c r="J107" s="13">
        <f t="shared" si="57"/>
        <v>0</v>
      </c>
      <c r="K107" s="362"/>
      <c r="L107" s="217"/>
      <c r="M107" s="221"/>
    </row>
    <row r="108" spans="1:13" x14ac:dyDescent="0.25">
      <c r="A108" s="370"/>
      <c r="B108" s="357"/>
      <c r="C108" s="358" t="s">
        <v>282</v>
      </c>
      <c r="D108" s="197">
        <f>MP!$H$96</f>
        <v>0</v>
      </c>
      <c r="E108" s="197">
        <f>MP!H93</f>
        <v>0</v>
      </c>
      <c r="F108" s="197">
        <f>MP!H94</f>
        <v>0</v>
      </c>
      <c r="G108" s="197"/>
      <c r="H108" s="197">
        <f>MP!H95</f>
        <v>0</v>
      </c>
      <c r="I108" s="197"/>
      <c r="J108" s="197">
        <f t="shared" si="57"/>
        <v>0</v>
      </c>
      <c r="K108" s="391">
        <f t="shared" ref="K108" si="60">J108+J109</f>
        <v>0</v>
      </c>
      <c r="L108" s="222"/>
      <c r="M108" s="221"/>
    </row>
    <row r="109" spans="1:13" x14ac:dyDescent="0.25">
      <c r="A109" s="370"/>
      <c r="B109" s="357"/>
      <c r="C109" s="358"/>
      <c r="D109" s="197">
        <f>MP!$H$100</f>
        <v>0</v>
      </c>
      <c r="E109" s="197">
        <f>MP!H97</f>
        <v>0</v>
      </c>
      <c r="F109" s="197">
        <f>MP!H98</f>
        <v>0</v>
      </c>
      <c r="G109" s="197"/>
      <c r="H109" s="197">
        <f>MP!H99</f>
        <v>0</v>
      </c>
      <c r="I109" s="197"/>
      <c r="J109" s="197">
        <f t="shared" si="57"/>
        <v>0</v>
      </c>
      <c r="K109" s="392"/>
      <c r="L109" s="222"/>
      <c r="M109" s="221"/>
    </row>
    <row r="110" spans="1:13" x14ac:dyDescent="0.25">
      <c r="A110" s="370"/>
      <c r="B110" s="357"/>
      <c r="C110" s="299" t="s">
        <v>286</v>
      </c>
      <c r="D110" s="24">
        <f>MP!$H$105</f>
        <v>0</v>
      </c>
      <c r="E110" s="24">
        <f>MP!H102</f>
        <v>0</v>
      </c>
      <c r="F110" s="24">
        <f>MP!H103</f>
        <v>0</v>
      </c>
      <c r="G110" s="24"/>
      <c r="H110" s="24">
        <f>MP!H104</f>
        <v>0</v>
      </c>
      <c r="I110" s="24"/>
      <c r="J110" s="24">
        <f t="shared" si="57"/>
        <v>0</v>
      </c>
      <c r="K110" s="365">
        <f t="shared" ref="K110" si="61">J110+J111</f>
        <v>0</v>
      </c>
      <c r="L110" s="215"/>
      <c r="M110" s="221"/>
    </row>
    <row r="111" spans="1:13" x14ac:dyDescent="0.25">
      <c r="A111" s="370"/>
      <c r="B111" s="357"/>
      <c r="C111" s="299"/>
      <c r="D111" s="24">
        <f>MP!$H$109</f>
        <v>0</v>
      </c>
      <c r="E111" s="24">
        <f>MP!H106</f>
        <v>0</v>
      </c>
      <c r="F111" s="24">
        <f>MP!H107</f>
        <v>0</v>
      </c>
      <c r="G111" s="24"/>
      <c r="H111" s="24">
        <f>MP!H108</f>
        <v>0</v>
      </c>
      <c r="I111" s="24"/>
      <c r="J111" s="24">
        <f t="shared" si="57"/>
        <v>0</v>
      </c>
      <c r="K111" s="366"/>
      <c r="L111" s="215"/>
      <c r="M111" s="221"/>
    </row>
    <row r="112" spans="1:13" x14ac:dyDescent="0.25">
      <c r="A112" s="370"/>
      <c r="B112" s="299" t="s">
        <v>274</v>
      </c>
      <c r="C112" s="357" t="s">
        <v>278</v>
      </c>
      <c r="D112" s="32">
        <f>MP!$J$87</f>
        <v>0</v>
      </c>
      <c r="E112" s="32">
        <f>MP!J84</f>
        <v>0</v>
      </c>
      <c r="F112" s="32">
        <f>MP!J85</f>
        <v>0</v>
      </c>
      <c r="G112" s="32"/>
      <c r="H112" s="32">
        <f>MP!J86</f>
        <v>0</v>
      </c>
      <c r="I112" s="32"/>
      <c r="J112" s="32">
        <f t="shared" si="57"/>
        <v>0</v>
      </c>
      <c r="K112" s="386">
        <f t="shared" ref="K112" si="62">J112+J113</f>
        <v>0</v>
      </c>
      <c r="L112" s="214"/>
      <c r="M112" s="221"/>
    </row>
    <row r="113" spans="1:13" x14ac:dyDescent="0.25">
      <c r="A113" s="370"/>
      <c r="B113" s="299"/>
      <c r="C113" s="357"/>
      <c r="D113" s="32">
        <f>MP!$J$91</f>
        <v>0</v>
      </c>
      <c r="E113" s="32">
        <f>MP!J88</f>
        <v>0</v>
      </c>
      <c r="F113" s="32">
        <f>MP!J85</f>
        <v>0</v>
      </c>
      <c r="G113" s="32"/>
      <c r="H113" s="32">
        <f>MP!J86</f>
        <v>0</v>
      </c>
      <c r="I113" s="32"/>
      <c r="J113" s="32">
        <f t="shared" si="57"/>
        <v>0</v>
      </c>
      <c r="K113" s="342"/>
      <c r="L113" s="214"/>
      <c r="M113" s="221"/>
    </row>
    <row r="114" spans="1:13" x14ac:dyDescent="0.25">
      <c r="A114" s="370"/>
      <c r="B114" s="299"/>
      <c r="C114" s="359" t="s">
        <v>283</v>
      </c>
      <c r="D114" s="34">
        <f>MP!$J$96</f>
        <v>0</v>
      </c>
      <c r="E114" s="34">
        <f>MP!J93</f>
        <v>0</v>
      </c>
      <c r="F114" s="34">
        <f>MP!J94</f>
        <v>0</v>
      </c>
      <c r="G114" s="34"/>
      <c r="H114" s="34">
        <f>MP!J95</f>
        <v>0</v>
      </c>
      <c r="I114" s="34"/>
      <c r="J114" s="34">
        <f t="shared" si="57"/>
        <v>0</v>
      </c>
      <c r="K114" s="363">
        <f t="shared" ref="K114" si="63">J114+J115</f>
        <v>0</v>
      </c>
      <c r="L114" s="218"/>
      <c r="M114" s="221"/>
    </row>
    <row r="115" spans="1:13" x14ac:dyDescent="0.25">
      <c r="A115" s="370"/>
      <c r="B115" s="299"/>
      <c r="C115" s="359"/>
      <c r="D115" s="34">
        <f>MP!$J$100</f>
        <v>0</v>
      </c>
      <c r="E115" s="34">
        <f>MP!J97</f>
        <v>0</v>
      </c>
      <c r="F115" s="34">
        <f>MP!J98</f>
        <v>0</v>
      </c>
      <c r="G115" s="34"/>
      <c r="H115" s="34">
        <f>MP!J99</f>
        <v>0</v>
      </c>
      <c r="I115" s="34"/>
      <c r="J115" s="34">
        <f t="shared" si="57"/>
        <v>0</v>
      </c>
      <c r="K115" s="364"/>
      <c r="L115" s="218"/>
      <c r="M115" s="221"/>
    </row>
    <row r="116" spans="1:13" x14ac:dyDescent="0.25">
      <c r="A116" s="370"/>
      <c r="B116" s="299"/>
      <c r="C116" s="298" t="s">
        <v>287</v>
      </c>
      <c r="D116" s="13">
        <f>MP!$J$105</f>
        <v>0</v>
      </c>
      <c r="E116" s="13">
        <f>MP!J102</f>
        <v>0</v>
      </c>
      <c r="F116" s="13">
        <f>MP!J103</f>
        <v>0</v>
      </c>
      <c r="G116" s="13"/>
      <c r="H116" s="13">
        <f>MP!J104</f>
        <v>0</v>
      </c>
      <c r="I116" s="13"/>
      <c r="J116" s="13">
        <f t="shared" si="57"/>
        <v>0</v>
      </c>
      <c r="K116" s="361">
        <f t="shared" ref="K116" si="64">J116+J117</f>
        <v>0</v>
      </c>
      <c r="L116" s="217"/>
      <c r="M116" s="221"/>
    </row>
    <row r="117" spans="1:13" x14ac:dyDescent="0.25">
      <c r="A117" s="370"/>
      <c r="B117" s="299"/>
      <c r="C117" s="298"/>
      <c r="D117" s="13">
        <f>MP!$J$109</f>
        <v>0</v>
      </c>
      <c r="E117" s="13">
        <f>MP!J106</f>
        <v>0</v>
      </c>
      <c r="F117" s="13">
        <f>MP!J107</f>
        <v>0</v>
      </c>
      <c r="G117" s="13"/>
      <c r="H117" s="13">
        <f>MP!J108</f>
        <v>0</v>
      </c>
      <c r="I117" s="13"/>
      <c r="J117" s="13">
        <f t="shared" si="57"/>
        <v>0</v>
      </c>
      <c r="K117" s="362"/>
      <c r="L117" s="217"/>
      <c r="M117" s="221"/>
    </row>
    <row r="118" spans="1:13" x14ac:dyDescent="0.25">
      <c r="A118" s="370"/>
      <c r="B118" s="298" t="s">
        <v>275</v>
      </c>
      <c r="C118" s="300" t="s">
        <v>279</v>
      </c>
      <c r="D118" s="18">
        <f>MP!$L$87</f>
        <v>0</v>
      </c>
      <c r="E118" s="18">
        <f>MP!L84</f>
        <v>0</v>
      </c>
      <c r="F118" s="18">
        <f>MP!L85</f>
        <v>0</v>
      </c>
      <c r="G118" s="18"/>
      <c r="H118" s="18">
        <f>MP!L86</f>
        <v>0</v>
      </c>
      <c r="I118" s="18"/>
      <c r="J118" s="34">
        <f t="shared" si="57"/>
        <v>0</v>
      </c>
      <c r="K118" s="382">
        <f t="shared" ref="K118" si="65">J118+J119</f>
        <v>0</v>
      </c>
      <c r="L118" s="216"/>
      <c r="M118" s="221"/>
    </row>
    <row r="119" spans="1:13" x14ac:dyDescent="0.25">
      <c r="A119" s="370"/>
      <c r="B119" s="298"/>
      <c r="C119" s="300"/>
      <c r="D119" s="18">
        <f>MP!$L$91</f>
        <v>0</v>
      </c>
      <c r="E119" s="18">
        <f>MP!L88</f>
        <v>0</v>
      </c>
      <c r="F119" s="18">
        <f>MP!L89</f>
        <v>0</v>
      </c>
      <c r="G119" s="18"/>
      <c r="H119" s="18">
        <f>MP!L90</f>
        <v>0</v>
      </c>
      <c r="I119" s="18"/>
      <c r="J119" s="34">
        <f t="shared" si="57"/>
        <v>0</v>
      </c>
      <c r="K119" s="383"/>
      <c r="L119" s="216"/>
      <c r="M119" s="221"/>
    </row>
    <row r="120" spans="1:13" x14ac:dyDescent="0.25">
      <c r="A120" s="370"/>
      <c r="B120" s="298"/>
      <c r="C120" s="299" t="s">
        <v>284</v>
      </c>
      <c r="D120" s="24">
        <f>MP!$L$96</f>
        <v>0</v>
      </c>
      <c r="E120" s="24">
        <f>MP!L93</f>
        <v>0</v>
      </c>
      <c r="F120" s="24">
        <f>MP!L94</f>
        <v>0</v>
      </c>
      <c r="G120" s="24"/>
      <c r="H120" s="24">
        <f>MP!L95</f>
        <v>0</v>
      </c>
      <c r="I120" s="24"/>
      <c r="J120" s="24">
        <f t="shared" si="57"/>
        <v>0</v>
      </c>
      <c r="K120" s="365">
        <f t="shared" ref="K120" si="66">J120+J121</f>
        <v>0</v>
      </c>
      <c r="L120" s="215"/>
      <c r="M120" s="221"/>
    </row>
    <row r="121" spans="1:13" x14ac:dyDescent="0.25">
      <c r="A121" s="370"/>
      <c r="B121" s="298"/>
      <c r="C121" s="299"/>
      <c r="D121" s="24">
        <f>MP!$L$100</f>
        <v>0</v>
      </c>
      <c r="E121" s="24">
        <f>MP!L97</f>
        <v>0</v>
      </c>
      <c r="F121" s="24">
        <f>MP!L98</f>
        <v>0</v>
      </c>
      <c r="G121" s="24"/>
      <c r="H121" s="24">
        <f>MP!L99</f>
        <v>0</v>
      </c>
      <c r="I121" s="24"/>
      <c r="J121" s="24">
        <f t="shared" si="57"/>
        <v>0</v>
      </c>
      <c r="K121" s="366"/>
      <c r="L121" s="215"/>
      <c r="M121" s="221"/>
    </row>
    <row r="122" spans="1:13" x14ac:dyDescent="0.25">
      <c r="A122" s="370"/>
      <c r="B122" s="298"/>
      <c r="C122" s="289" t="s">
        <v>288</v>
      </c>
      <c r="D122" s="21">
        <f>MP!$L$105</f>
        <v>0</v>
      </c>
      <c r="E122" s="21">
        <f>MP!L102</f>
        <v>0</v>
      </c>
      <c r="F122" s="21">
        <f>MP!L103</f>
        <v>0</v>
      </c>
      <c r="G122" s="21"/>
      <c r="H122" s="21">
        <f>MP!L104</f>
        <v>0</v>
      </c>
      <c r="I122" s="21"/>
      <c r="J122" s="21">
        <f t="shared" si="57"/>
        <v>0</v>
      </c>
      <c r="K122" s="306">
        <f t="shared" ref="K122" si="67">J122+J123</f>
        <v>0</v>
      </c>
      <c r="L122" s="89"/>
      <c r="M122" s="221"/>
    </row>
    <row r="123" spans="1:13" x14ac:dyDescent="0.25">
      <c r="A123" s="370"/>
      <c r="B123" s="298"/>
      <c r="C123" s="289"/>
      <c r="D123" s="21">
        <f>MP!$L$109</f>
        <v>0</v>
      </c>
      <c r="E123" s="21">
        <f>MP!L106</f>
        <v>0</v>
      </c>
      <c r="F123" s="21">
        <f>MP!L107</f>
        <v>0</v>
      </c>
      <c r="G123" s="21"/>
      <c r="H123" s="21">
        <f>MP!L108</f>
        <v>0</v>
      </c>
      <c r="I123" s="21"/>
      <c r="J123" s="21">
        <f t="shared" si="57"/>
        <v>0</v>
      </c>
      <c r="K123" s="353"/>
      <c r="L123" s="89"/>
      <c r="M123" s="221"/>
    </row>
    <row r="125" spans="1:13" ht="30" x14ac:dyDescent="0.25">
      <c r="A125" s="360" t="s">
        <v>345</v>
      </c>
      <c r="B125" s="140" t="s">
        <v>117</v>
      </c>
      <c r="C125" s="140" t="s">
        <v>342</v>
      </c>
      <c r="D125" s="195" t="s">
        <v>14</v>
      </c>
      <c r="E125" s="140" t="s">
        <v>89</v>
      </c>
      <c r="F125" s="140" t="s">
        <v>119</v>
      </c>
      <c r="G125" s="140" t="s">
        <v>206</v>
      </c>
      <c r="H125" s="140" t="s">
        <v>268</v>
      </c>
      <c r="I125" s="140" t="s">
        <v>343</v>
      </c>
      <c r="J125" s="196" t="s">
        <v>212</v>
      </c>
      <c r="K125" s="131" t="s">
        <v>212</v>
      </c>
      <c r="L125" s="211" t="s">
        <v>121</v>
      </c>
      <c r="M125" s="223"/>
    </row>
    <row r="126" spans="1:13" x14ac:dyDescent="0.25">
      <c r="A126" s="360"/>
      <c r="B126" s="300" t="s">
        <v>289</v>
      </c>
      <c r="C126" s="298" t="s">
        <v>297</v>
      </c>
      <c r="D126" s="13">
        <f>MP!$O$87</f>
        <v>0</v>
      </c>
      <c r="E126" s="13">
        <f>MP!O84</f>
        <v>0</v>
      </c>
      <c r="F126" s="13">
        <f>MP!O85</f>
        <v>0</v>
      </c>
      <c r="G126" s="13"/>
      <c r="H126" s="13">
        <f>MP!O86</f>
        <v>0</v>
      </c>
      <c r="I126" s="13"/>
      <c r="J126" s="13">
        <f>(F126*G126)+H126-I126</f>
        <v>0</v>
      </c>
      <c r="K126" s="361">
        <f>J126+J127</f>
        <v>0</v>
      </c>
      <c r="L126" s="217"/>
      <c r="M126" s="221"/>
    </row>
    <row r="127" spans="1:13" x14ac:dyDescent="0.25">
      <c r="A127" s="360"/>
      <c r="B127" s="300"/>
      <c r="C127" s="298"/>
      <c r="D127" s="13">
        <f>MP!$O$91</f>
        <v>0</v>
      </c>
      <c r="E127" s="13">
        <f>MP!O88</f>
        <v>0</v>
      </c>
      <c r="F127" s="13">
        <f>MP!O89</f>
        <v>0</v>
      </c>
      <c r="G127" s="13"/>
      <c r="H127" s="13">
        <f>MP!O90</f>
        <v>0</v>
      </c>
      <c r="I127" s="13"/>
      <c r="J127" s="13">
        <f t="shared" ref="J127:J149" si="68">(F127*G127)+H127-I127</f>
        <v>0</v>
      </c>
      <c r="K127" s="362"/>
      <c r="L127" s="217"/>
      <c r="M127" s="221"/>
    </row>
    <row r="128" spans="1:13" x14ac:dyDescent="0.25">
      <c r="A128" s="360"/>
      <c r="B128" s="300"/>
      <c r="C128" s="299" t="s">
        <v>298</v>
      </c>
      <c r="D128" s="24">
        <f>MP!$O$96</f>
        <v>0</v>
      </c>
      <c r="E128" s="24">
        <f>MP!O93</f>
        <v>0</v>
      </c>
      <c r="F128" s="24">
        <f>MP!O94</f>
        <v>0</v>
      </c>
      <c r="G128" s="24"/>
      <c r="H128" s="24">
        <f>MP!O95</f>
        <v>0</v>
      </c>
      <c r="I128" s="24"/>
      <c r="J128" s="24">
        <f t="shared" si="68"/>
        <v>0</v>
      </c>
      <c r="K128" s="365">
        <f t="shared" ref="K128" si="69">J128+J129</f>
        <v>0</v>
      </c>
      <c r="L128" s="215"/>
      <c r="M128" s="221"/>
    </row>
    <row r="129" spans="1:13" x14ac:dyDescent="0.25">
      <c r="A129" s="360"/>
      <c r="B129" s="300"/>
      <c r="C129" s="299"/>
      <c r="D129" s="24">
        <f>MP!$O$100</f>
        <v>0</v>
      </c>
      <c r="E129" s="24">
        <f>MP!O97</f>
        <v>0</v>
      </c>
      <c r="F129" s="24">
        <f>MP!O98</f>
        <v>0</v>
      </c>
      <c r="G129" s="24"/>
      <c r="H129" s="24">
        <f>MP!O99</f>
        <v>0</v>
      </c>
      <c r="I129" s="24"/>
      <c r="J129" s="24">
        <f t="shared" si="68"/>
        <v>0</v>
      </c>
      <c r="K129" s="366"/>
      <c r="L129" s="215"/>
      <c r="M129" s="221"/>
    </row>
    <row r="130" spans="1:13" x14ac:dyDescent="0.25">
      <c r="A130" s="360"/>
      <c r="B130" s="300"/>
      <c r="C130" s="300" t="s">
        <v>299</v>
      </c>
      <c r="D130" s="18">
        <f>MP!$O$105</f>
        <v>0</v>
      </c>
      <c r="E130" s="18">
        <f>MP!O102</f>
        <v>0</v>
      </c>
      <c r="F130" s="18">
        <f>MP!O103</f>
        <v>0</v>
      </c>
      <c r="G130" s="18"/>
      <c r="H130" s="18">
        <f>MP!O104</f>
        <v>0</v>
      </c>
      <c r="I130" s="18"/>
      <c r="J130" s="34">
        <f t="shared" si="68"/>
        <v>0</v>
      </c>
      <c r="K130" s="382">
        <f t="shared" ref="K130" si="70">J130+J131</f>
        <v>0</v>
      </c>
      <c r="L130" s="216"/>
      <c r="M130" s="221"/>
    </row>
    <row r="131" spans="1:13" x14ac:dyDescent="0.25">
      <c r="A131" s="360"/>
      <c r="B131" s="300"/>
      <c r="C131" s="300"/>
      <c r="D131" s="18">
        <f>MP!$O$105</f>
        <v>0</v>
      </c>
      <c r="E131" s="18">
        <f>MP!O106</f>
        <v>0</v>
      </c>
      <c r="F131" s="18">
        <f>MP!O103</f>
        <v>0</v>
      </c>
      <c r="G131" s="18"/>
      <c r="H131" s="18">
        <f>MP!O104</f>
        <v>0</v>
      </c>
      <c r="I131" s="18"/>
      <c r="J131" s="34">
        <f t="shared" si="68"/>
        <v>0</v>
      </c>
      <c r="K131" s="383"/>
      <c r="L131" s="216"/>
      <c r="M131" s="221"/>
    </row>
    <row r="132" spans="1:13" x14ac:dyDescent="0.25">
      <c r="A132" s="360"/>
      <c r="B132" s="299" t="s">
        <v>290</v>
      </c>
      <c r="C132" s="301" t="s">
        <v>300</v>
      </c>
      <c r="D132" s="28">
        <f>MP!$Q$87</f>
        <v>0</v>
      </c>
      <c r="E132" s="28">
        <f>MP!Q84</f>
        <v>0</v>
      </c>
      <c r="F132" s="28">
        <f>MP!Q85</f>
        <v>0</v>
      </c>
      <c r="G132" s="28"/>
      <c r="H132" s="28">
        <f>MP!Q86</f>
        <v>0</v>
      </c>
      <c r="I132" s="28"/>
      <c r="J132" s="28">
        <f t="shared" si="68"/>
        <v>0</v>
      </c>
      <c r="K132" s="367">
        <f t="shared" ref="K132" si="71">J132+J133</f>
        <v>0</v>
      </c>
      <c r="L132" s="213"/>
      <c r="M132" s="221"/>
    </row>
    <row r="133" spans="1:13" x14ac:dyDescent="0.25">
      <c r="A133" s="360"/>
      <c r="B133" s="299"/>
      <c r="C133" s="301"/>
      <c r="D133" s="28">
        <f>MP!$Q$91</f>
        <v>0</v>
      </c>
      <c r="E133" s="28">
        <f>MP!Q88</f>
        <v>0</v>
      </c>
      <c r="F133" s="28">
        <f>MP!Q89</f>
        <v>0</v>
      </c>
      <c r="G133" s="28"/>
      <c r="H133" s="28">
        <f>MP!Q90</f>
        <v>0</v>
      </c>
      <c r="I133" s="28"/>
      <c r="J133" s="28">
        <f t="shared" si="68"/>
        <v>0</v>
      </c>
      <c r="K133" s="368"/>
      <c r="L133" s="213"/>
      <c r="M133" s="221"/>
    </row>
    <row r="134" spans="1:13" x14ac:dyDescent="0.25">
      <c r="A134" s="360"/>
      <c r="B134" s="299"/>
      <c r="C134" s="289" t="s">
        <v>301</v>
      </c>
      <c r="D134" s="21">
        <f>MP!$Q$96</f>
        <v>0</v>
      </c>
      <c r="E134" s="21">
        <f>MP!Q93</f>
        <v>0</v>
      </c>
      <c r="F134" s="21">
        <f>MP!Q94</f>
        <v>0</v>
      </c>
      <c r="G134" s="21"/>
      <c r="H134" s="21">
        <f>MP!Q95</f>
        <v>0</v>
      </c>
      <c r="I134" s="21"/>
      <c r="J134" s="21">
        <f t="shared" si="68"/>
        <v>0</v>
      </c>
      <c r="K134" s="306">
        <f t="shared" ref="K134" si="72">J134+J135</f>
        <v>0</v>
      </c>
      <c r="L134" s="89"/>
      <c r="M134" s="221"/>
    </row>
    <row r="135" spans="1:13" x14ac:dyDescent="0.25">
      <c r="A135" s="360"/>
      <c r="B135" s="299"/>
      <c r="C135" s="289"/>
      <c r="D135" s="21">
        <f>MP!$Q$100</f>
        <v>0</v>
      </c>
      <c r="E135" s="21">
        <f>MP!Q97</f>
        <v>0</v>
      </c>
      <c r="F135" s="21">
        <f>MP!Q98</f>
        <v>0</v>
      </c>
      <c r="G135" s="21"/>
      <c r="H135" s="21">
        <f>MP!Q99</f>
        <v>0</v>
      </c>
      <c r="I135" s="21"/>
      <c r="J135" s="21">
        <f t="shared" si="68"/>
        <v>0</v>
      </c>
      <c r="K135" s="353"/>
      <c r="L135" s="89"/>
      <c r="M135" s="221"/>
    </row>
    <row r="136" spans="1:13" x14ac:dyDescent="0.25">
      <c r="A136" s="360"/>
      <c r="B136" s="299"/>
      <c r="C136" s="298" t="s">
        <v>302</v>
      </c>
      <c r="D136" s="13">
        <f>MP!$Q$105</f>
        <v>0</v>
      </c>
      <c r="E136" s="13">
        <f>MP!Q102</f>
        <v>0</v>
      </c>
      <c r="F136" s="13">
        <f>MP!Q103</f>
        <v>0</v>
      </c>
      <c r="G136" s="13"/>
      <c r="H136" s="13">
        <f>MP!Q104</f>
        <v>0</v>
      </c>
      <c r="I136" s="13"/>
      <c r="J136" s="13">
        <f t="shared" si="68"/>
        <v>0</v>
      </c>
      <c r="K136" s="361">
        <f t="shared" ref="K136" si="73">J136+J137</f>
        <v>0</v>
      </c>
      <c r="L136" s="217"/>
      <c r="M136" s="221"/>
    </row>
    <row r="137" spans="1:13" x14ac:dyDescent="0.25">
      <c r="A137" s="360"/>
      <c r="B137" s="299"/>
      <c r="C137" s="298"/>
      <c r="D137" s="13">
        <f>MP!$Q$109</f>
        <v>0</v>
      </c>
      <c r="E137" s="13">
        <f>MP!Q106</f>
        <v>0</v>
      </c>
      <c r="F137" s="13">
        <f>MP!Q107</f>
        <v>0</v>
      </c>
      <c r="G137" s="13"/>
      <c r="H137" s="13">
        <f>MP!Q108</f>
        <v>0</v>
      </c>
      <c r="I137" s="13"/>
      <c r="J137" s="13">
        <f t="shared" si="68"/>
        <v>0</v>
      </c>
      <c r="K137" s="362"/>
      <c r="L137" s="217"/>
      <c r="M137" s="221"/>
    </row>
    <row r="138" spans="1:13" x14ac:dyDescent="0.25">
      <c r="A138" s="360"/>
      <c r="B138" s="298" t="s">
        <v>291</v>
      </c>
      <c r="C138" s="299" t="s">
        <v>303</v>
      </c>
      <c r="D138" s="24">
        <f>MP!$S$87</f>
        <v>0</v>
      </c>
      <c r="E138" s="24">
        <f>MP!S84</f>
        <v>0</v>
      </c>
      <c r="F138" s="24">
        <f>MP!S85</f>
        <v>0</v>
      </c>
      <c r="G138" s="24"/>
      <c r="H138" s="24">
        <f>MP!S86</f>
        <v>0</v>
      </c>
      <c r="I138" s="24"/>
      <c r="J138" s="24">
        <f t="shared" si="68"/>
        <v>0</v>
      </c>
      <c r="K138" s="365">
        <f t="shared" ref="K138" si="74">J138+J139</f>
        <v>0</v>
      </c>
      <c r="L138" s="215"/>
      <c r="M138" s="221"/>
    </row>
    <row r="139" spans="1:13" x14ac:dyDescent="0.25">
      <c r="A139" s="360"/>
      <c r="B139" s="298"/>
      <c r="C139" s="299"/>
      <c r="D139" s="24">
        <f>MP!$S$91</f>
        <v>0</v>
      </c>
      <c r="E139" s="24">
        <f>MP!S88</f>
        <v>0</v>
      </c>
      <c r="F139" s="24">
        <f>MP!S89</f>
        <v>0</v>
      </c>
      <c r="G139" s="24"/>
      <c r="H139" s="24">
        <f>MP!S90</f>
        <v>0</v>
      </c>
      <c r="I139" s="24"/>
      <c r="J139" s="24">
        <f t="shared" si="68"/>
        <v>0</v>
      </c>
      <c r="K139" s="366"/>
      <c r="L139" s="215"/>
      <c r="M139" s="221"/>
    </row>
    <row r="140" spans="1:13" x14ac:dyDescent="0.25">
      <c r="A140" s="360"/>
      <c r="B140" s="298"/>
      <c r="C140" s="300" t="s">
        <v>304</v>
      </c>
      <c r="D140" s="18">
        <f>MP!$S$96</f>
        <v>0</v>
      </c>
      <c r="E140" s="18">
        <f>MP!S93</f>
        <v>0</v>
      </c>
      <c r="F140" s="18">
        <f>MP!S94</f>
        <v>0</v>
      </c>
      <c r="G140" s="18"/>
      <c r="H140" s="18">
        <f>MP!S95</f>
        <v>0</v>
      </c>
      <c r="I140" s="18"/>
      <c r="J140" s="34">
        <f t="shared" si="68"/>
        <v>0</v>
      </c>
      <c r="K140" s="382">
        <f t="shared" ref="K140" si="75">J140+J141</f>
        <v>0</v>
      </c>
      <c r="L140" s="216"/>
      <c r="M140" s="221"/>
    </row>
    <row r="141" spans="1:13" x14ac:dyDescent="0.25">
      <c r="A141" s="360"/>
      <c r="B141" s="298"/>
      <c r="C141" s="300"/>
      <c r="D141" s="18">
        <f>MP!$S$100</f>
        <v>0</v>
      </c>
      <c r="E141" s="18">
        <f>MP!S97</f>
        <v>0</v>
      </c>
      <c r="F141" s="18">
        <f>MP!S98</f>
        <v>0</v>
      </c>
      <c r="G141" s="18"/>
      <c r="H141" s="18">
        <f>MP!S99</f>
        <v>0</v>
      </c>
      <c r="I141" s="18"/>
      <c r="J141" s="34">
        <f t="shared" si="68"/>
        <v>0</v>
      </c>
      <c r="K141" s="383"/>
      <c r="L141" s="216"/>
      <c r="M141" s="221"/>
    </row>
    <row r="142" spans="1:13" x14ac:dyDescent="0.25">
      <c r="A142" s="360"/>
      <c r="B142" s="298"/>
      <c r="C142" s="357" t="s">
        <v>305</v>
      </c>
      <c r="D142" s="32">
        <f>MP!$S$105</f>
        <v>0</v>
      </c>
      <c r="E142" s="32">
        <f>MP!S102</f>
        <v>0</v>
      </c>
      <c r="F142" s="32">
        <f>MP!S103</f>
        <v>0</v>
      </c>
      <c r="G142" s="32"/>
      <c r="H142" s="32">
        <f>MP!S104</f>
        <v>0</v>
      </c>
      <c r="I142" s="32"/>
      <c r="J142" s="32">
        <f t="shared" si="68"/>
        <v>0</v>
      </c>
      <c r="K142" s="386">
        <f t="shared" ref="K142" si="76">J142+J143</f>
        <v>0</v>
      </c>
      <c r="L142" s="214"/>
      <c r="M142" s="221"/>
    </row>
    <row r="143" spans="1:13" x14ac:dyDescent="0.25">
      <c r="A143" s="360"/>
      <c r="B143" s="298"/>
      <c r="C143" s="357"/>
      <c r="D143" s="32">
        <f>MP!$S$109</f>
        <v>0</v>
      </c>
      <c r="E143" s="32">
        <f>MP!S106</f>
        <v>0</v>
      </c>
      <c r="F143" s="32">
        <f>MP!S107</f>
        <v>0</v>
      </c>
      <c r="G143" s="32"/>
      <c r="H143" s="32">
        <f>MP!S108</f>
        <v>0</v>
      </c>
      <c r="I143" s="32"/>
      <c r="J143" s="32">
        <f t="shared" si="68"/>
        <v>0</v>
      </c>
      <c r="K143" s="342"/>
      <c r="L143" s="214"/>
      <c r="M143" s="221"/>
    </row>
    <row r="144" spans="1:13" x14ac:dyDescent="0.25">
      <c r="A144" s="360"/>
      <c r="B144" s="289" t="s">
        <v>292</v>
      </c>
      <c r="C144" s="298" t="s">
        <v>306</v>
      </c>
      <c r="D144" s="13">
        <f>MP!$U$87</f>
        <v>0</v>
      </c>
      <c r="E144" s="13">
        <f>MP!U84</f>
        <v>0</v>
      </c>
      <c r="F144" s="13">
        <f>MP!U85</f>
        <v>0</v>
      </c>
      <c r="G144" s="13"/>
      <c r="H144" s="13">
        <f>MP!U86</f>
        <v>0</v>
      </c>
      <c r="I144" s="13"/>
      <c r="J144" s="13">
        <f t="shared" si="68"/>
        <v>0</v>
      </c>
      <c r="K144" s="361">
        <f t="shared" ref="K144" si="77">J144+J145</f>
        <v>0</v>
      </c>
      <c r="L144" s="217"/>
      <c r="M144" s="221"/>
    </row>
    <row r="145" spans="1:13" x14ac:dyDescent="0.25">
      <c r="A145" s="360"/>
      <c r="B145" s="289"/>
      <c r="C145" s="298"/>
      <c r="D145" s="13">
        <f>MP!$U$91</f>
        <v>0</v>
      </c>
      <c r="E145" s="13">
        <f>MP!U88</f>
        <v>0</v>
      </c>
      <c r="F145" s="13">
        <f>MP!U89</f>
        <v>0</v>
      </c>
      <c r="G145" s="13"/>
      <c r="H145" s="13">
        <f>MP!U90</f>
        <v>0</v>
      </c>
      <c r="I145" s="13"/>
      <c r="J145" s="13">
        <f t="shared" si="68"/>
        <v>0</v>
      </c>
      <c r="K145" s="362"/>
      <c r="L145" s="217"/>
      <c r="M145" s="221"/>
    </row>
    <row r="146" spans="1:13" x14ac:dyDescent="0.25">
      <c r="A146" s="360"/>
      <c r="B146" s="289"/>
      <c r="C146" s="299" t="s">
        <v>307</v>
      </c>
      <c r="D146" s="24">
        <f>MP!$U$96</f>
        <v>0</v>
      </c>
      <c r="E146" s="24">
        <f>MP!U93</f>
        <v>0</v>
      </c>
      <c r="F146" s="24">
        <f>MP!U94</f>
        <v>0</v>
      </c>
      <c r="G146" s="24"/>
      <c r="H146" s="24">
        <f>MP!U95</f>
        <v>0</v>
      </c>
      <c r="I146" s="24"/>
      <c r="J146" s="24">
        <f t="shared" si="68"/>
        <v>0</v>
      </c>
      <c r="K146" s="365">
        <f t="shared" ref="K146" si="78">J146+J147</f>
        <v>0</v>
      </c>
      <c r="L146" s="215"/>
      <c r="M146" s="221"/>
    </row>
    <row r="147" spans="1:13" x14ac:dyDescent="0.25">
      <c r="A147" s="360"/>
      <c r="B147" s="289"/>
      <c r="C147" s="299"/>
      <c r="D147" s="24">
        <f>MP!$U$100</f>
        <v>0</v>
      </c>
      <c r="E147" s="24">
        <f>MP!U97</f>
        <v>0</v>
      </c>
      <c r="F147" s="24">
        <f>MP!U98</f>
        <v>0</v>
      </c>
      <c r="G147" s="24"/>
      <c r="H147" s="24">
        <f>MP!U99</f>
        <v>0</v>
      </c>
      <c r="I147" s="24"/>
      <c r="J147" s="24">
        <f t="shared" si="68"/>
        <v>0</v>
      </c>
      <c r="K147" s="366"/>
      <c r="L147" s="215"/>
      <c r="M147" s="221"/>
    </row>
    <row r="148" spans="1:13" x14ac:dyDescent="0.25">
      <c r="A148" s="360"/>
      <c r="B148" s="289"/>
      <c r="C148" s="301" t="s">
        <v>308</v>
      </c>
      <c r="D148" s="28">
        <f>MP!$U$105</f>
        <v>0</v>
      </c>
      <c r="E148" s="28">
        <f>MP!U102</f>
        <v>0</v>
      </c>
      <c r="F148" s="28">
        <f>MP!U103</f>
        <v>0</v>
      </c>
      <c r="G148" s="28"/>
      <c r="H148" s="28">
        <f>MP!U104</f>
        <v>0</v>
      </c>
      <c r="I148" s="28"/>
      <c r="J148" s="28">
        <f t="shared" si="68"/>
        <v>0</v>
      </c>
      <c r="K148" s="367">
        <f t="shared" ref="K148" si="79">J148+J149</f>
        <v>0</v>
      </c>
      <c r="L148" s="213"/>
      <c r="M148" s="221"/>
    </row>
    <row r="149" spans="1:13" x14ac:dyDescent="0.25">
      <c r="A149" s="360"/>
      <c r="B149" s="289"/>
      <c r="C149" s="301"/>
      <c r="D149" s="28">
        <f>MP!$U$109</f>
        <v>0</v>
      </c>
      <c r="E149" s="28">
        <f>MP!U106</f>
        <v>0</v>
      </c>
      <c r="F149" s="28">
        <f>MP!U107</f>
        <v>0</v>
      </c>
      <c r="G149" s="28"/>
      <c r="H149" s="28">
        <f>MP!U108</f>
        <v>0</v>
      </c>
      <c r="I149" s="28"/>
      <c r="J149" s="28">
        <f t="shared" si="68"/>
        <v>0</v>
      </c>
      <c r="K149" s="368"/>
      <c r="L149" s="213"/>
      <c r="M149" s="221"/>
    </row>
    <row r="151" spans="1:13" x14ac:dyDescent="0.25">
      <c r="A151" s="369" t="s">
        <v>346</v>
      </c>
      <c r="B151" s="140" t="s">
        <v>117</v>
      </c>
      <c r="C151" s="140" t="s">
        <v>342</v>
      </c>
      <c r="D151" s="195" t="s">
        <v>14</v>
      </c>
      <c r="E151" s="140" t="s">
        <v>89</v>
      </c>
      <c r="F151" s="140" t="s">
        <v>119</v>
      </c>
      <c r="G151" s="140" t="s">
        <v>206</v>
      </c>
      <c r="H151" s="140" t="s">
        <v>268</v>
      </c>
      <c r="I151" s="140" t="s">
        <v>343</v>
      </c>
      <c r="J151" s="196" t="s">
        <v>212</v>
      </c>
      <c r="K151" s="131" t="s">
        <v>344</v>
      </c>
      <c r="L151" s="211" t="s">
        <v>121</v>
      </c>
      <c r="M151" s="223"/>
    </row>
    <row r="152" spans="1:13" x14ac:dyDescent="0.25">
      <c r="A152" s="369"/>
      <c r="B152" s="299" t="s">
        <v>293</v>
      </c>
      <c r="C152" s="298" t="s">
        <v>309</v>
      </c>
      <c r="D152" s="13">
        <f>MP!$F$117</f>
        <v>0</v>
      </c>
      <c r="E152" s="13">
        <f>MP!F114</f>
        <v>0</v>
      </c>
      <c r="F152" s="13">
        <f>MP!F115</f>
        <v>0</v>
      </c>
      <c r="G152" s="13"/>
      <c r="H152" s="13">
        <f>MP!F116</f>
        <v>0</v>
      </c>
      <c r="I152" s="13"/>
      <c r="J152" s="13">
        <f>(F152*G152)+H152-I152</f>
        <v>0</v>
      </c>
      <c r="K152" s="361">
        <f>J152+J153</f>
        <v>0</v>
      </c>
      <c r="L152" s="217"/>
      <c r="M152" s="221"/>
    </row>
    <row r="153" spans="1:13" x14ac:dyDescent="0.25">
      <c r="A153" s="369"/>
      <c r="B153" s="299"/>
      <c r="C153" s="298"/>
      <c r="D153" s="13">
        <f>MP!$F$121</f>
        <v>0</v>
      </c>
      <c r="E153" s="13">
        <f>MP!F118</f>
        <v>0</v>
      </c>
      <c r="F153" s="13">
        <f>MP!F119</f>
        <v>0</v>
      </c>
      <c r="G153" s="13"/>
      <c r="H153" s="13">
        <f>MP!F120</f>
        <v>0</v>
      </c>
      <c r="I153" s="13"/>
      <c r="J153" s="13">
        <f t="shared" ref="J153:J175" si="80">(F153*G153)+H153-I153</f>
        <v>0</v>
      </c>
      <c r="K153" s="362"/>
      <c r="L153" s="217"/>
      <c r="M153" s="221"/>
    </row>
    <row r="154" spans="1:13" x14ac:dyDescent="0.25">
      <c r="A154" s="369"/>
      <c r="B154" s="299"/>
      <c r="C154" s="359" t="s">
        <v>310</v>
      </c>
      <c r="D154" s="34">
        <f>MP!$F$126</f>
        <v>0</v>
      </c>
      <c r="E154" s="34">
        <f>MP!F123</f>
        <v>0</v>
      </c>
      <c r="F154" s="34">
        <f>MP!F124</f>
        <v>0</v>
      </c>
      <c r="G154" s="34"/>
      <c r="H154" s="34">
        <f>MP!F125</f>
        <v>0</v>
      </c>
      <c r="I154" s="34"/>
      <c r="J154" s="34">
        <f t="shared" si="80"/>
        <v>0</v>
      </c>
      <c r="K154" s="363">
        <f t="shared" ref="K154" si="81">J154+J155</f>
        <v>0</v>
      </c>
      <c r="L154" s="218"/>
      <c r="M154" s="221"/>
    </row>
    <row r="155" spans="1:13" x14ac:dyDescent="0.25">
      <c r="A155" s="369"/>
      <c r="B155" s="299"/>
      <c r="C155" s="359"/>
      <c r="D155" s="34">
        <f>MP!$F$130</f>
        <v>0</v>
      </c>
      <c r="E155" s="34">
        <f>MP!F127</f>
        <v>0</v>
      </c>
      <c r="F155" s="34">
        <f>MP!F128</f>
        <v>0</v>
      </c>
      <c r="G155" s="34"/>
      <c r="H155" s="34">
        <f>MP!F129</f>
        <v>0</v>
      </c>
      <c r="I155" s="34"/>
      <c r="J155" s="34">
        <f t="shared" si="80"/>
        <v>0</v>
      </c>
      <c r="K155" s="364"/>
      <c r="L155" s="218"/>
      <c r="M155" s="221"/>
    </row>
    <row r="156" spans="1:13" x14ac:dyDescent="0.25">
      <c r="A156" s="369"/>
      <c r="B156" s="299"/>
      <c r="C156" s="299" t="s">
        <v>311</v>
      </c>
      <c r="D156" s="24">
        <f>MP!$F$135</f>
        <v>0</v>
      </c>
      <c r="E156" s="24">
        <f>MP!F132</f>
        <v>0</v>
      </c>
      <c r="F156" s="24">
        <f>MP!F133</f>
        <v>0</v>
      </c>
      <c r="G156" s="24"/>
      <c r="H156" s="24">
        <f>MP!F134</f>
        <v>0</v>
      </c>
      <c r="I156" s="24"/>
      <c r="J156" s="24">
        <f t="shared" si="80"/>
        <v>0</v>
      </c>
      <c r="K156" s="365">
        <f t="shared" ref="K156" si="82">J156+J157</f>
        <v>0</v>
      </c>
      <c r="L156" s="215"/>
      <c r="M156" s="221"/>
    </row>
    <row r="157" spans="1:13" x14ac:dyDescent="0.25">
      <c r="A157" s="369"/>
      <c r="B157" s="299"/>
      <c r="C157" s="299"/>
      <c r="D157" s="24">
        <f>MP!A139</f>
        <v>0</v>
      </c>
      <c r="E157" s="24">
        <f>MP!F136</f>
        <v>0</v>
      </c>
      <c r="F157" s="24">
        <f>MP!F137</f>
        <v>0</v>
      </c>
      <c r="G157" s="24"/>
      <c r="H157" s="24">
        <f>MP!F138</f>
        <v>0</v>
      </c>
      <c r="I157" s="24"/>
      <c r="J157" s="24">
        <f t="shared" si="80"/>
        <v>0</v>
      </c>
      <c r="K157" s="366"/>
      <c r="L157" s="215"/>
      <c r="M157" s="221"/>
    </row>
    <row r="158" spans="1:13" x14ac:dyDescent="0.25">
      <c r="A158" s="369"/>
      <c r="B158" s="359" t="s">
        <v>294</v>
      </c>
      <c r="C158" s="289" t="s">
        <v>312</v>
      </c>
      <c r="D158" s="21">
        <f>MP!$H$117</f>
        <v>0</v>
      </c>
      <c r="E158" s="21">
        <f>MP!H114</f>
        <v>0</v>
      </c>
      <c r="F158" s="21">
        <f>MP!H115</f>
        <v>0</v>
      </c>
      <c r="G158" s="21"/>
      <c r="H158" s="21">
        <f>MP!H116</f>
        <v>0</v>
      </c>
      <c r="I158" s="21"/>
      <c r="J158" s="21">
        <f t="shared" si="80"/>
        <v>0</v>
      </c>
      <c r="K158" s="306">
        <f t="shared" ref="K158" si="83">J158+J159</f>
        <v>0</v>
      </c>
      <c r="L158" s="89"/>
      <c r="M158" s="221"/>
    </row>
    <row r="159" spans="1:13" x14ac:dyDescent="0.25">
      <c r="A159" s="369"/>
      <c r="B159" s="359"/>
      <c r="C159" s="289"/>
      <c r="D159" s="21">
        <f>MP!$H$121</f>
        <v>0</v>
      </c>
      <c r="E159" s="21">
        <f>MP!H118</f>
        <v>0</v>
      </c>
      <c r="F159" s="21">
        <f>MP!H119</f>
        <v>0</v>
      </c>
      <c r="G159" s="21"/>
      <c r="H159" s="21">
        <f>MP!H120</f>
        <v>0</v>
      </c>
      <c r="I159" s="21"/>
      <c r="J159" s="21">
        <f t="shared" si="80"/>
        <v>0</v>
      </c>
      <c r="K159" s="353"/>
      <c r="L159" s="89"/>
      <c r="M159" s="221"/>
    </row>
    <row r="160" spans="1:13" x14ac:dyDescent="0.25">
      <c r="A160" s="369"/>
      <c r="B160" s="359"/>
      <c r="C160" s="298" t="s">
        <v>313</v>
      </c>
      <c r="D160" s="13">
        <f>MP!$H$126</f>
        <v>0</v>
      </c>
      <c r="E160" s="13">
        <f>MP!H123</f>
        <v>0</v>
      </c>
      <c r="F160" s="13">
        <f>MP!H124</f>
        <v>0</v>
      </c>
      <c r="G160" s="13"/>
      <c r="H160" s="13">
        <f>MP!H125</f>
        <v>0</v>
      </c>
      <c r="I160" s="13"/>
      <c r="J160" s="13">
        <f t="shared" si="80"/>
        <v>0</v>
      </c>
      <c r="K160" s="361">
        <f t="shared" ref="K160" si="84">J160+J161</f>
        <v>0</v>
      </c>
      <c r="L160" s="217"/>
      <c r="M160" s="221"/>
    </row>
    <row r="161" spans="1:13" x14ac:dyDescent="0.25">
      <c r="A161" s="369"/>
      <c r="B161" s="359"/>
      <c r="C161" s="298"/>
      <c r="D161" s="13">
        <f>MP!$H$130</f>
        <v>0</v>
      </c>
      <c r="E161" s="13">
        <f>MP!H127</f>
        <v>0</v>
      </c>
      <c r="F161" s="13">
        <f>MP!H128</f>
        <v>0</v>
      </c>
      <c r="G161" s="13"/>
      <c r="H161" s="13">
        <f>MP!H129</f>
        <v>0</v>
      </c>
      <c r="I161" s="13"/>
      <c r="J161" s="13">
        <f t="shared" si="80"/>
        <v>0</v>
      </c>
      <c r="K161" s="362"/>
      <c r="L161" s="217"/>
      <c r="M161" s="221"/>
    </row>
    <row r="162" spans="1:13" x14ac:dyDescent="0.25">
      <c r="A162" s="369"/>
      <c r="B162" s="359"/>
      <c r="C162" s="357" t="s">
        <v>314</v>
      </c>
      <c r="D162" s="32">
        <f>MP!$H$135</f>
        <v>0</v>
      </c>
      <c r="E162" s="32">
        <f>MP!H132</f>
        <v>0</v>
      </c>
      <c r="F162" s="32">
        <f>MP!H133</f>
        <v>0</v>
      </c>
      <c r="G162" s="32"/>
      <c r="H162" s="32">
        <f>MP!H134</f>
        <v>0</v>
      </c>
      <c r="I162" s="32"/>
      <c r="J162" s="32">
        <f t="shared" si="80"/>
        <v>0</v>
      </c>
      <c r="K162" s="386">
        <f t="shared" ref="K162" si="85">J162+J163</f>
        <v>0</v>
      </c>
      <c r="L162" s="214"/>
      <c r="M162" s="221"/>
    </row>
    <row r="163" spans="1:13" x14ac:dyDescent="0.25">
      <c r="A163" s="369"/>
      <c r="B163" s="359"/>
      <c r="C163" s="357"/>
      <c r="D163" s="32">
        <f>MP!$H$139</f>
        <v>0</v>
      </c>
      <c r="E163" s="32">
        <f>MP!H136</f>
        <v>0</v>
      </c>
      <c r="F163" s="32">
        <f>MP!H137</f>
        <v>0</v>
      </c>
      <c r="G163" s="32"/>
      <c r="H163" s="32">
        <f>MP!H138</f>
        <v>0</v>
      </c>
      <c r="I163" s="32"/>
      <c r="J163" s="32">
        <f t="shared" si="80"/>
        <v>0</v>
      </c>
      <c r="K163" s="342"/>
      <c r="L163" s="214"/>
      <c r="M163" s="221"/>
    </row>
    <row r="164" spans="1:13" x14ac:dyDescent="0.25">
      <c r="A164" s="369"/>
      <c r="B164" s="358" t="s">
        <v>295</v>
      </c>
      <c r="C164" s="299" t="s">
        <v>315</v>
      </c>
      <c r="D164" s="24">
        <f>MP!$J$117</f>
        <v>0</v>
      </c>
      <c r="E164" s="24">
        <f>MP!J114</f>
        <v>0</v>
      </c>
      <c r="F164" s="24">
        <f>MP!J115</f>
        <v>0</v>
      </c>
      <c r="G164" s="24"/>
      <c r="H164" s="24">
        <f>MP!J116</f>
        <v>0</v>
      </c>
      <c r="I164" s="24"/>
      <c r="J164" s="24">
        <f t="shared" si="80"/>
        <v>0</v>
      </c>
      <c r="K164" s="365">
        <f t="shared" ref="K164" si="86">J164+J165</f>
        <v>0</v>
      </c>
      <c r="L164" s="215"/>
      <c r="M164" s="221"/>
    </row>
    <row r="165" spans="1:13" x14ac:dyDescent="0.25">
      <c r="A165" s="369"/>
      <c r="B165" s="358"/>
      <c r="C165" s="299"/>
      <c r="D165" s="24">
        <f>MP!$J$121</f>
        <v>0</v>
      </c>
      <c r="E165" s="24">
        <f>MP!J118</f>
        <v>0</v>
      </c>
      <c r="F165" s="24">
        <f>MP!J119</f>
        <v>0</v>
      </c>
      <c r="G165" s="24"/>
      <c r="H165" s="24">
        <f>MP!J120</f>
        <v>0</v>
      </c>
      <c r="I165" s="24"/>
      <c r="J165" s="24">
        <f t="shared" si="80"/>
        <v>0</v>
      </c>
      <c r="K165" s="366"/>
      <c r="L165" s="215"/>
      <c r="M165" s="221"/>
    </row>
    <row r="166" spans="1:13" x14ac:dyDescent="0.25">
      <c r="A166" s="369"/>
      <c r="B166" s="358"/>
      <c r="C166" s="300" t="s">
        <v>316</v>
      </c>
      <c r="D166" s="18">
        <f>MP!$J$126</f>
        <v>0</v>
      </c>
      <c r="E166" s="18">
        <f>MP!J123</f>
        <v>0</v>
      </c>
      <c r="F166" s="18">
        <f>MP!J124</f>
        <v>0</v>
      </c>
      <c r="G166" s="18"/>
      <c r="H166" s="18">
        <f>MP!J125</f>
        <v>0</v>
      </c>
      <c r="I166" s="18"/>
      <c r="J166" s="18">
        <f t="shared" si="80"/>
        <v>0</v>
      </c>
      <c r="K166" s="382">
        <f t="shared" ref="K166" si="87">J166+J167</f>
        <v>0</v>
      </c>
      <c r="L166" s="216"/>
      <c r="M166" s="221"/>
    </row>
    <row r="167" spans="1:13" x14ac:dyDescent="0.25">
      <c r="A167" s="369"/>
      <c r="B167" s="358"/>
      <c r="C167" s="300"/>
      <c r="D167" s="18">
        <f>MP!$J$130</f>
        <v>0</v>
      </c>
      <c r="E167" s="18">
        <f>MP!J127</f>
        <v>0</v>
      </c>
      <c r="F167" s="18">
        <f>MP!J128</f>
        <v>0</v>
      </c>
      <c r="G167" s="18"/>
      <c r="H167" s="18">
        <f>MP!J129</f>
        <v>0</v>
      </c>
      <c r="I167" s="18"/>
      <c r="J167" s="18">
        <f t="shared" si="80"/>
        <v>0</v>
      </c>
      <c r="K167" s="383"/>
      <c r="L167" s="216"/>
      <c r="M167" s="221"/>
    </row>
    <row r="168" spans="1:13" x14ac:dyDescent="0.25">
      <c r="A168" s="369"/>
      <c r="B168" s="358"/>
      <c r="C168" s="299" t="s">
        <v>317</v>
      </c>
      <c r="D168" s="24">
        <f>MP!$J$135</f>
        <v>0</v>
      </c>
      <c r="E168" s="24">
        <f>MP!J132</f>
        <v>0</v>
      </c>
      <c r="F168" s="24">
        <f>MP!J133</f>
        <v>0</v>
      </c>
      <c r="G168" s="24"/>
      <c r="H168" s="24">
        <f>MP!J134</f>
        <v>0</v>
      </c>
      <c r="I168" s="24"/>
      <c r="J168" s="24">
        <f t="shared" si="80"/>
        <v>0</v>
      </c>
      <c r="K168" s="365">
        <f t="shared" ref="K168" si="88">J168+J169</f>
        <v>0</v>
      </c>
      <c r="L168" s="215"/>
      <c r="M168" s="221"/>
    </row>
    <row r="169" spans="1:13" x14ac:dyDescent="0.25">
      <c r="A169" s="369"/>
      <c r="B169" s="358"/>
      <c r="C169" s="299"/>
      <c r="D169" s="24">
        <f>MP!$J$139</f>
        <v>0</v>
      </c>
      <c r="E169" s="24">
        <f>MP!J136</f>
        <v>0</v>
      </c>
      <c r="F169" s="24">
        <f>MP!J137</f>
        <v>0</v>
      </c>
      <c r="G169" s="24"/>
      <c r="H169" s="24">
        <f>MP!J138</f>
        <v>0</v>
      </c>
      <c r="I169" s="24"/>
      <c r="J169" s="24">
        <f t="shared" si="80"/>
        <v>0</v>
      </c>
      <c r="K169" s="366"/>
      <c r="L169" s="215"/>
      <c r="M169" s="221"/>
    </row>
    <row r="170" spans="1:13" x14ac:dyDescent="0.25">
      <c r="A170" s="369"/>
      <c r="B170" s="298" t="s">
        <v>296</v>
      </c>
      <c r="C170" s="357" t="s">
        <v>318</v>
      </c>
      <c r="D170" s="32">
        <f>MP!$L$117</f>
        <v>0</v>
      </c>
      <c r="E170" s="32">
        <f>MP!L114</f>
        <v>0</v>
      </c>
      <c r="F170" s="32">
        <f>MP!L115</f>
        <v>0</v>
      </c>
      <c r="G170" s="32"/>
      <c r="H170" s="32">
        <f>MP!L116</f>
        <v>0</v>
      </c>
      <c r="I170" s="32"/>
      <c r="J170" s="32">
        <f t="shared" si="80"/>
        <v>0</v>
      </c>
      <c r="K170" s="386">
        <f t="shared" ref="K170" si="89">J170+J171</f>
        <v>0</v>
      </c>
      <c r="L170" s="214"/>
      <c r="M170" s="221"/>
    </row>
    <row r="171" spans="1:13" x14ac:dyDescent="0.25">
      <c r="A171" s="369"/>
      <c r="B171" s="298"/>
      <c r="C171" s="357"/>
      <c r="D171" s="32">
        <f>MP!$L$121</f>
        <v>0</v>
      </c>
      <c r="E171" s="32">
        <f>MP!L118</f>
        <v>0</v>
      </c>
      <c r="F171" s="32">
        <f>MP!L119</f>
        <v>0</v>
      </c>
      <c r="G171" s="32"/>
      <c r="H171" s="32">
        <f>MP!L120</f>
        <v>0</v>
      </c>
      <c r="I171" s="32"/>
      <c r="J171" s="32">
        <f t="shared" si="80"/>
        <v>0</v>
      </c>
      <c r="K171" s="342"/>
      <c r="L171" s="214"/>
      <c r="M171" s="221"/>
    </row>
    <row r="172" spans="1:13" x14ac:dyDescent="0.25">
      <c r="A172" s="369"/>
      <c r="B172" s="298"/>
      <c r="C172" s="298" t="s">
        <v>319</v>
      </c>
      <c r="D172" s="13">
        <f>MP!$L$126</f>
        <v>0</v>
      </c>
      <c r="E172" s="13">
        <f>MP!L123</f>
        <v>0</v>
      </c>
      <c r="F172" s="13">
        <f>MP!L124</f>
        <v>0</v>
      </c>
      <c r="G172" s="13"/>
      <c r="H172" s="13">
        <f>MP!L125</f>
        <v>0</v>
      </c>
      <c r="I172" s="13"/>
      <c r="J172" s="13">
        <f t="shared" si="80"/>
        <v>0</v>
      </c>
      <c r="K172" s="361">
        <f t="shared" ref="K172" si="90">J172+J173</f>
        <v>0</v>
      </c>
      <c r="L172" s="217"/>
      <c r="M172" s="221"/>
    </row>
    <row r="173" spans="1:13" x14ac:dyDescent="0.25">
      <c r="A173" s="369"/>
      <c r="B173" s="298"/>
      <c r="C173" s="298"/>
      <c r="D173" s="13">
        <f>MP!$L$130</f>
        <v>0</v>
      </c>
      <c r="E173" s="13">
        <f>MP!L127</f>
        <v>0</v>
      </c>
      <c r="F173" s="13">
        <f>MP!L128</f>
        <v>0</v>
      </c>
      <c r="G173" s="13"/>
      <c r="H173" s="13">
        <f>MP!L129</f>
        <v>0</v>
      </c>
      <c r="I173" s="13"/>
      <c r="J173" s="13">
        <f t="shared" si="80"/>
        <v>0</v>
      </c>
      <c r="K173" s="362"/>
      <c r="L173" s="217"/>
      <c r="M173" s="221"/>
    </row>
    <row r="174" spans="1:13" x14ac:dyDescent="0.25">
      <c r="A174" s="369"/>
      <c r="B174" s="298"/>
      <c r="C174" s="359" t="s">
        <v>320</v>
      </c>
      <c r="D174" s="34">
        <f>MP!$L$135</f>
        <v>0</v>
      </c>
      <c r="E174" s="34">
        <f>MP!L132</f>
        <v>0</v>
      </c>
      <c r="F174" s="34">
        <f>MP!L133</f>
        <v>0</v>
      </c>
      <c r="G174" s="34"/>
      <c r="H174" s="34">
        <f>MP!L134</f>
        <v>0</v>
      </c>
      <c r="I174" s="34"/>
      <c r="J174" s="18">
        <f t="shared" si="80"/>
        <v>0</v>
      </c>
      <c r="K174" s="363">
        <f t="shared" ref="K174" si="91">J174+J175</f>
        <v>0</v>
      </c>
      <c r="L174" s="218"/>
      <c r="M174" s="221"/>
    </row>
    <row r="175" spans="1:13" x14ac:dyDescent="0.25">
      <c r="A175" s="369"/>
      <c r="B175" s="298"/>
      <c r="C175" s="359"/>
      <c r="D175" s="34">
        <f>MP!$L$139</f>
        <v>0</v>
      </c>
      <c r="E175" s="34">
        <f>MP!L136</f>
        <v>0</v>
      </c>
      <c r="F175" s="34">
        <f>MP!L137</f>
        <v>0</v>
      </c>
      <c r="G175" s="34"/>
      <c r="H175" s="34">
        <f>MP!L138</f>
        <v>0</v>
      </c>
      <c r="I175" s="34"/>
      <c r="J175" s="18">
        <f t="shared" si="80"/>
        <v>0</v>
      </c>
      <c r="K175" s="364"/>
      <c r="L175" s="218"/>
      <c r="M175" s="221"/>
    </row>
  </sheetData>
  <mergeCells count="247">
    <mergeCell ref="K144:K145"/>
    <mergeCell ref="K146:K147"/>
    <mergeCell ref="K168:K169"/>
    <mergeCell ref="K170:K171"/>
    <mergeCell ref="K172:K173"/>
    <mergeCell ref="K174:K175"/>
    <mergeCell ref="K148:K149"/>
    <mergeCell ref="K152:K153"/>
    <mergeCell ref="K154:K155"/>
    <mergeCell ref="K156:K157"/>
    <mergeCell ref="K158:K159"/>
    <mergeCell ref="K160:K161"/>
    <mergeCell ref="K162:K163"/>
    <mergeCell ref="K164:K165"/>
    <mergeCell ref="K166:K167"/>
    <mergeCell ref="K126:K127"/>
    <mergeCell ref="K128:K129"/>
    <mergeCell ref="K130:K131"/>
    <mergeCell ref="K132:K133"/>
    <mergeCell ref="K134:K135"/>
    <mergeCell ref="K136:K137"/>
    <mergeCell ref="K138:K139"/>
    <mergeCell ref="K140:K141"/>
    <mergeCell ref="K142:K143"/>
    <mergeCell ref="K106:K107"/>
    <mergeCell ref="K108:K109"/>
    <mergeCell ref="K110:K111"/>
    <mergeCell ref="K112:K113"/>
    <mergeCell ref="K114:K115"/>
    <mergeCell ref="K116:K117"/>
    <mergeCell ref="K118:K119"/>
    <mergeCell ref="K120:K121"/>
    <mergeCell ref="K122:K123"/>
    <mergeCell ref="J82:J83"/>
    <mergeCell ref="J84:J85"/>
    <mergeCell ref="J90:J91"/>
    <mergeCell ref="J92:J93"/>
    <mergeCell ref="J94:J95"/>
    <mergeCell ref="J96:J97"/>
    <mergeCell ref="K100:K101"/>
    <mergeCell ref="K102:K103"/>
    <mergeCell ref="K104:K105"/>
    <mergeCell ref="K82:K83"/>
    <mergeCell ref="K88:K89"/>
    <mergeCell ref="J86:J87"/>
    <mergeCell ref="J88:J89"/>
    <mergeCell ref="B90:B97"/>
    <mergeCell ref="A64:A97"/>
    <mergeCell ref="C90:C91"/>
    <mergeCell ref="C92:C93"/>
    <mergeCell ref="C94:C95"/>
    <mergeCell ref="C96:C97"/>
    <mergeCell ref="K90:K91"/>
    <mergeCell ref="K92:K93"/>
    <mergeCell ref="K94:K95"/>
    <mergeCell ref="K96:K97"/>
    <mergeCell ref="K74:K75"/>
    <mergeCell ref="K84:K85"/>
    <mergeCell ref="K86:K87"/>
    <mergeCell ref="B82:B89"/>
    <mergeCell ref="C82:C83"/>
    <mergeCell ref="C84:C85"/>
    <mergeCell ref="J66:J67"/>
    <mergeCell ref="C86:C87"/>
    <mergeCell ref="C88:C89"/>
    <mergeCell ref="B78:B81"/>
    <mergeCell ref="C78:C79"/>
    <mergeCell ref="C80:C81"/>
    <mergeCell ref="K78:K79"/>
    <mergeCell ref="K80:K81"/>
    <mergeCell ref="B76:B77"/>
    <mergeCell ref="C76:C77"/>
    <mergeCell ref="K76:K77"/>
    <mergeCell ref="A2:A63"/>
    <mergeCell ref="C72:C73"/>
    <mergeCell ref="C74:C75"/>
    <mergeCell ref="B72:B75"/>
    <mergeCell ref="K72:K73"/>
    <mergeCell ref="K68:K69"/>
    <mergeCell ref="K70:K71"/>
    <mergeCell ref="B66:B71"/>
    <mergeCell ref="C66:C67"/>
    <mergeCell ref="C68:C69"/>
    <mergeCell ref="C70:C71"/>
    <mergeCell ref="K66:K67"/>
    <mergeCell ref="B64:B65"/>
    <mergeCell ref="C64:C65"/>
    <mergeCell ref="C46:C47"/>
    <mergeCell ref="C48:C49"/>
    <mergeCell ref="C50:C51"/>
    <mergeCell ref="K64:K65"/>
    <mergeCell ref="K52:K53"/>
    <mergeCell ref="J8:J9"/>
    <mergeCell ref="J10:J11"/>
    <mergeCell ref="B54:B63"/>
    <mergeCell ref="C54:C55"/>
    <mergeCell ref="C56:C57"/>
    <mergeCell ref="C58:C59"/>
    <mergeCell ref="C60:C61"/>
    <mergeCell ref="C62:C63"/>
    <mergeCell ref="K54:K55"/>
    <mergeCell ref="K56:K57"/>
    <mergeCell ref="K58:K59"/>
    <mergeCell ref="K60:K61"/>
    <mergeCell ref="K62:K63"/>
    <mergeCell ref="J54:J55"/>
    <mergeCell ref="J56:J57"/>
    <mergeCell ref="J58:J59"/>
    <mergeCell ref="J60:J61"/>
    <mergeCell ref="J62:J63"/>
    <mergeCell ref="B44:B53"/>
    <mergeCell ref="C52:C53"/>
    <mergeCell ref="J46:J47"/>
    <mergeCell ref="B42:B43"/>
    <mergeCell ref="C42:C43"/>
    <mergeCell ref="K42:K43"/>
    <mergeCell ref="C44:C45"/>
    <mergeCell ref="K44:K45"/>
    <mergeCell ref="C38:C39"/>
    <mergeCell ref="C40:C41"/>
    <mergeCell ref="B34:B41"/>
    <mergeCell ref="K40:K41"/>
    <mergeCell ref="J34:J35"/>
    <mergeCell ref="J36:J37"/>
    <mergeCell ref="J38:J39"/>
    <mergeCell ref="J40:J41"/>
    <mergeCell ref="J42:J43"/>
    <mergeCell ref="J44:J45"/>
    <mergeCell ref="J48:J49"/>
    <mergeCell ref="J50:J51"/>
    <mergeCell ref="J52:J53"/>
    <mergeCell ref="K46:K47"/>
    <mergeCell ref="K48:K49"/>
    <mergeCell ref="K50:K51"/>
    <mergeCell ref="B22:B33"/>
    <mergeCell ref="C34:C35"/>
    <mergeCell ref="C36:C37"/>
    <mergeCell ref="C26:C27"/>
    <mergeCell ref="K26:K27"/>
    <mergeCell ref="C28:C29"/>
    <mergeCell ref="K28:K29"/>
    <mergeCell ref="C22:C23"/>
    <mergeCell ref="K22:K23"/>
    <mergeCell ref="C24:C25"/>
    <mergeCell ref="K24:K25"/>
    <mergeCell ref="K30:K31"/>
    <mergeCell ref="K32:K33"/>
    <mergeCell ref="K34:K35"/>
    <mergeCell ref="K36:K37"/>
    <mergeCell ref="J26:J27"/>
    <mergeCell ref="J22:J23"/>
    <mergeCell ref="J24:J25"/>
    <mergeCell ref="J28:J29"/>
    <mergeCell ref="J30:J31"/>
    <mergeCell ref="J32:J33"/>
    <mergeCell ref="B10:B21"/>
    <mergeCell ref="B2:B9"/>
    <mergeCell ref="C16:C17"/>
    <mergeCell ref="K16:K17"/>
    <mergeCell ref="C18:C19"/>
    <mergeCell ref="K18:K19"/>
    <mergeCell ref="C12:C13"/>
    <mergeCell ref="K12:K13"/>
    <mergeCell ref="C14:C15"/>
    <mergeCell ref="K14:K15"/>
    <mergeCell ref="C8:C9"/>
    <mergeCell ref="K8:K9"/>
    <mergeCell ref="C10:C11"/>
    <mergeCell ref="K10:K11"/>
    <mergeCell ref="C6:C7"/>
    <mergeCell ref="J2:J3"/>
    <mergeCell ref="J4:J5"/>
    <mergeCell ref="J6:J7"/>
    <mergeCell ref="K6:K7"/>
    <mergeCell ref="J12:J13"/>
    <mergeCell ref="J14:J15"/>
    <mergeCell ref="J16:J17"/>
    <mergeCell ref="J18:J19"/>
    <mergeCell ref="J20:J21"/>
    <mergeCell ref="C2:C3"/>
    <mergeCell ref="C4:C5"/>
    <mergeCell ref="K2:K3"/>
    <mergeCell ref="K4:K5"/>
    <mergeCell ref="C20:C21"/>
    <mergeCell ref="K20:K21"/>
    <mergeCell ref="C30:C31"/>
    <mergeCell ref="C32:C33"/>
    <mergeCell ref="K38:K39"/>
    <mergeCell ref="J64:J65"/>
    <mergeCell ref="J68:J69"/>
    <mergeCell ref="J70:J71"/>
    <mergeCell ref="J72:J73"/>
    <mergeCell ref="J74:J75"/>
    <mergeCell ref="J76:J77"/>
    <mergeCell ref="J78:J79"/>
    <mergeCell ref="J80:J81"/>
    <mergeCell ref="A151:A175"/>
    <mergeCell ref="B152:B157"/>
    <mergeCell ref="C152:C153"/>
    <mergeCell ref="C154:C155"/>
    <mergeCell ref="C156:C157"/>
    <mergeCell ref="B158:B163"/>
    <mergeCell ref="C100:C101"/>
    <mergeCell ref="C102:C103"/>
    <mergeCell ref="C104:C105"/>
    <mergeCell ref="B100:B105"/>
    <mergeCell ref="B106:B111"/>
    <mergeCell ref="B112:B117"/>
    <mergeCell ref="B118:B123"/>
    <mergeCell ref="A99:A123"/>
    <mergeCell ref="C106:C107"/>
    <mergeCell ref="C108:C109"/>
    <mergeCell ref="C110:C111"/>
    <mergeCell ref="C112:C113"/>
    <mergeCell ref="C114:C115"/>
    <mergeCell ref="C116:C117"/>
    <mergeCell ref="C118:C119"/>
    <mergeCell ref="C120:C121"/>
    <mergeCell ref="C122:C123"/>
    <mergeCell ref="A125:A149"/>
    <mergeCell ref="B126:B131"/>
    <mergeCell ref="C126:C127"/>
    <mergeCell ref="C128:C129"/>
    <mergeCell ref="C130:C131"/>
    <mergeCell ref="B132:B137"/>
    <mergeCell ref="C132:C133"/>
    <mergeCell ref="C134:C135"/>
    <mergeCell ref="C136:C137"/>
    <mergeCell ref="B138:B143"/>
    <mergeCell ref="C138:C139"/>
    <mergeCell ref="C140:C141"/>
    <mergeCell ref="C142:C143"/>
    <mergeCell ref="B144:B149"/>
    <mergeCell ref="C144:C145"/>
    <mergeCell ref="C146:C147"/>
    <mergeCell ref="C148:C149"/>
    <mergeCell ref="C158:C159"/>
    <mergeCell ref="C160:C161"/>
    <mergeCell ref="C162:C163"/>
    <mergeCell ref="B164:B169"/>
    <mergeCell ref="C164:C165"/>
    <mergeCell ref="C166:C167"/>
    <mergeCell ref="C168:C169"/>
    <mergeCell ref="B170:B175"/>
    <mergeCell ref="C170:C171"/>
    <mergeCell ref="C172:C173"/>
    <mergeCell ref="C174:C175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DED0C-D9F7-4CB5-81D5-4C2ED07890BF}">
  <dimension ref="A1:X84"/>
  <sheetViews>
    <sheetView zoomScale="50" zoomScaleNormal="50" workbookViewId="0">
      <selection activeCell="X21" sqref="X21"/>
    </sheetView>
  </sheetViews>
  <sheetFormatPr baseColWidth="10" defaultRowHeight="15" x14ac:dyDescent="0.25"/>
  <sheetData>
    <row r="1" spans="1:24" ht="24" customHeight="1" thickBot="1" x14ac:dyDescent="0.3">
      <c r="A1" s="397" t="s">
        <v>213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</row>
    <row r="2" spans="1:24" ht="33.75" thickBot="1" x14ac:dyDescent="0.3">
      <c r="A2" s="155" t="s">
        <v>214</v>
      </c>
      <c r="B2" s="156" t="s">
        <v>270</v>
      </c>
      <c r="C2" s="157">
        <v>45694</v>
      </c>
      <c r="D2" s="158">
        <v>45722</v>
      </c>
      <c r="E2" s="158">
        <v>45753</v>
      </c>
      <c r="F2" s="158">
        <v>45783</v>
      </c>
      <c r="G2" s="158">
        <v>45814</v>
      </c>
      <c r="H2" s="158">
        <v>45906</v>
      </c>
      <c r="I2" s="158">
        <v>45936</v>
      </c>
      <c r="J2" s="158">
        <v>45967</v>
      </c>
      <c r="K2" s="158">
        <v>45820</v>
      </c>
      <c r="L2" s="158">
        <v>45821</v>
      </c>
      <c r="M2" s="172" t="s">
        <v>215</v>
      </c>
      <c r="N2" s="172" t="s">
        <v>216</v>
      </c>
      <c r="O2" s="172" t="s">
        <v>217</v>
      </c>
      <c r="P2" s="172" t="s">
        <v>218</v>
      </c>
      <c r="Q2" s="172" t="s">
        <v>219</v>
      </c>
      <c r="R2" s="172" t="s">
        <v>220</v>
      </c>
      <c r="S2" s="172" t="s">
        <v>221</v>
      </c>
      <c r="T2" s="172" t="s">
        <v>222</v>
      </c>
      <c r="U2" s="172" t="s">
        <v>223</v>
      </c>
      <c r="V2" s="172" t="s">
        <v>224</v>
      </c>
      <c r="W2" s="172" t="s">
        <v>225</v>
      </c>
      <c r="X2" s="255" t="s">
        <v>344</v>
      </c>
    </row>
    <row r="3" spans="1:24" ht="31.5" customHeight="1" thickBot="1" x14ac:dyDescent="0.3">
      <c r="A3" s="393" t="s">
        <v>226</v>
      </c>
      <c r="B3" s="159">
        <v>10203</v>
      </c>
      <c r="C3" s="160">
        <v>42</v>
      </c>
      <c r="D3" s="161">
        <v>111</v>
      </c>
      <c r="E3" s="161">
        <v>150</v>
      </c>
      <c r="F3" s="161">
        <v>105</v>
      </c>
      <c r="G3" s="161">
        <v>105</v>
      </c>
      <c r="H3" s="162"/>
      <c r="I3" s="163"/>
      <c r="J3" s="176"/>
      <c r="K3" s="161">
        <v>152</v>
      </c>
      <c r="L3" s="162"/>
      <c r="M3" s="161">
        <v>190</v>
      </c>
      <c r="N3" s="162"/>
      <c r="O3" s="162"/>
      <c r="P3" s="162"/>
      <c r="Q3" s="162"/>
      <c r="R3" s="162"/>
      <c r="S3" s="162"/>
      <c r="T3" s="162"/>
      <c r="U3" s="162"/>
      <c r="V3" s="162"/>
      <c r="W3" s="256"/>
      <c r="X3" s="208">
        <f>SUM(C3:W3)</f>
        <v>855</v>
      </c>
    </row>
    <row r="4" spans="1:24" ht="15.75" thickBot="1" x14ac:dyDescent="0.3">
      <c r="A4" s="394"/>
      <c r="B4" s="177">
        <v>10506</v>
      </c>
      <c r="C4" s="178"/>
      <c r="D4" s="179"/>
      <c r="E4" s="179"/>
      <c r="F4" s="179"/>
      <c r="G4" s="179"/>
      <c r="H4" s="166"/>
      <c r="I4" s="167"/>
      <c r="J4" s="165"/>
      <c r="K4" s="179"/>
      <c r="L4" s="166"/>
      <c r="M4" s="179"/>
      <c r="N4" s="166"/>
      <c r="O4" s="166"/>
      <c r="P4" s="166"/>
      <c r="Q4" s="166"/>
      <c r="R4" s="166"/>
      <c r="S4" s="166"/>
      <c r="T4" s="166"/>
      <c r="U4" s="166"/>
      <c r="V4" s="166"/>
      <c r="W4" s="257"/>
      <c r="X4" s="208">
        <f t="shared" ref="X4:X67" si="0">SUM(C4:W4)</f>
        <v>0</v>
      </c>
    </row>
    <row r="5" spans="1:24" ht="30.75" customHeight="1" thickBot="1" x14ac:dyDescent="0.3">
      <c r="A5" s="395" t="s">
        <v>86</v>
      </c>
      <c r="B5" s="159"/>
      <c r="C5" s="160">
        <v>5.6</v>
      </c>
      <c r="D5" s="161">
        <v>3.6</v>
      </c>
      <c r="E5" s="161">
        <v>3.6</v>
      </c>
      <c r="F5" s="161">
        <v>2.4</v>
      </c>
      <c r="G5" s="161">
        <v>0.6</v>
      </c>
      <c r="H5" s="162"/>
      <c r="I5" s="163"/>
      <c r="J5" s="176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256"/>
      <c r="X5" s="208">
        <f t="shared" si="0"/>
        <v>15.799999999999999</v>
      </c>
    </row>
    <row r="6" spans="1:24" ht="15.75" thickBot="1" x14ac:dyDescent="0.3">
      <c r="A6" s="396"/>
      <c r="B6" s="177"/>
      <c r="C6" s="178"/>
      <c r="D6" s="179"/>
      <c r="E6" s="179"/>
      <c r="F6" s="179"/>
      <c r="G6" s="179"/>
      <c r="H6" s="166"/>
      <c r="I6" s="167"/>
      <c r="J6" s="165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257"/>
      <c r="X6" s="208">
        <f t="shared" si="0"/>
        <v>0</v>
      </c>
    </row>
    <row r="7" spans="1:24" ht="46.5" customHeight="1" thickBot="1" x14ac:dyDescent="0.3">
      <c r="A7" s="395" t="s">
        <v>227</v>
      </c>
      <c r="B7" s="159"/>
      <c r="C7" s="176"/>
      <c r="D7" s="162"/>
      <c r="E7" s="162"/>
      <c r="F7" s="162"/>
      <c r="G7" s="162"/>
      <c r="H7" s="162"/>
      <c r="I7" s="163"/>
      <c r="J7" s="176"/>
      <c r="K7" s="162"/>
      <c r="L7" s="162"/>
      <c r="M7" s="161">
        <v>25</v>
      </c>
      <c r="N7" s="162"/>
      <c r="O7" s="162"/>
      <c r="P7" s="162"/>
      <c r="Q7" s="162"/>
      <c r="R7" s="162"/>
      <c r="S7" s="162"/>
      <c r="T7" s="162"/>
      <c r="U7" s="162"/>
      <c r="V7" s="162"/>
      <c r="W7" s="256"/>
      <c r="X7" s="208">
        <f t="shared" si="0"/>
        <v>25</v>
      </c>
    </row>
    <row r="8" spans="1:24" ht="15.75" thickBot="1" x14ac:dyDescent="0.3">
      <c r="A8" s="396"/>
      <c r="B8" s="177"/>
      <c r="C8" s="165"/>
      <c r="D8" s="166"/>
      <c r="E8" s="166"/>
      <c r="F8" s="166"/>
      <c r="G8" s="166"/>
      <c r="H8" s="166"/>
      <c r="I8" s="167"/>
      <c r="J8" s="165"/>
      <c r="K8" s="166"/>
      <c r="L8" s="166"/>
      <c r="M8" s="179"/>
      <c r="N8" s="166"/>
      <c r="O8" s="166"/>
      <c r="P8" s="166"/>
      <c r="Q8" s="166"/>
      <c r="R8" s="166"/>
      <c r="S8" s="166"/>
      <c r="T8" s="166"/>
      <c r="U8" s="166"/>
      <c r="V8" s="166"/>
      <c r="W8" s="257"/>
      <c r="X8" s="208">
        <f t="shared" si="0"/>
        <v>0</v>
      </c>
    </row>
    <row r="9" spans="1:24" ht="31.5" customHeight="1" thickBot="1" x14ac:dyDescent="0.3">
      <c r="A9" s="395" t="s">
        <v>228</v>
      </c>
      <c r="B9" s="159"/>
      <c r="C9" s="176"/>
      <c r="D9" s="162"/>
      <c r="E9" s="162"/>
      <c r="F9" s="162"/>
      <c r="G9" s="162"/>
      <c r="H9" s="162"/>
      <c r="I9" s="163"/>
      <c r="J9" s="176"/>
      <c r="K9" s="161">
        <v>100</v>
      </c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256"/>
      <c r="X9" s="208">
        <f t="shared" si="0"/>
        <v>100</v>
      </c>
    </row>
    <row r="10" spans="1:24" ht="15.75" thickBot="1" x14ac:dyDescent="0.3">
      <c r="A10" s="396"/>
      <c r="B10" s="177"/>
      <c r="C10" s="165"/>
      <c r="D10" s="166"/>
      <c r="E10" s="166"/>
      <c r="F10" s="166"/>
      <c r="G10" s="166"/>
      <c r="H10" s="166"/>
      <c r="I10" s="167"/>
      <c r="J10" s="165"/>
      <c r="K10" s="179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257"/>
      <c r="X10" s="208">
        <f t="shared" si="0"/>
        <v>0</v>
      </c>
    </row>
    <row r="11" spans="1:24" ht="15.75" thickBot="1" x14ac:dyDescent="0.3">
      <c r="A11" s="395" t="s">
        <v>229</v>
      </c>
      <c r="B11" s="159"/>
      <c r="C11" s="160">
        <v>196</v>
      </c>
      <c r="D11" s="161">
        <v>126</v>
      </c>
      <c r="E11" s="161">
        <v>126</v>
      </c>
      <c r="F11" s="161">
        <v>84</v>
      </c>
      <c r="G11" s="161">
        <v>14</v>
      </c>
      <c r="H11" s="162"/>
      <c r="I11" s="163"/>
      <c r="J11" s="176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256"/>
      <c r="X11" s="208">
        <f t="shared" si="0"/>
        <v>546</v>
      </c>
    </row>
    <row r="12" spans="1:24" ht="15.75" thickBot="1" x14ac:dyDescent="0.3">
      <c r="A12" s="396"/>
      <c r="B12" s="177"/>
      <c r="C12" s="178"/>
      <c r="D12" s="179"/>
      <c r="E12" s="179"/>
      <c r="F12" s="179"/>
      <c r="G12" s="179"/>
      <c r="H12" s="166"/>
      <c r="I12" s="167"/>
      <c r="J12" s="165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257"/>
      <c r="X12" s="208">
        <f t="shared" si="0"/>
        <v>0</v>
      </c>
    </row>
    <row r="13" spans="1:24" ht="15.75" thickBot="1" x14ac:dyDescent="0.3">
      <c r="A13" s="395" t="s">
        <v>230</v>
      </c>
      <c r="B13" s="159"/>
      <c r="C13" s="176"/>
      <c r="D13" s="161">
        <v>2.4</v>
      </c>
      <c r="E13" s="161">
        <v>3.6</v>
      </c>
      <c r="F13" s="161">
        <v>3</v>
      </c>
      <c r="G13" s="161">
        <v>3</v>
      </c>
      <c r="H13" s="162"/>
      <c r="I13" s="163"/>
      <c r="J13" s="176"/>
      <c r="K13" s="162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162"/>
      <c r="W13" s="256"/>
      <c r="X13" s="208">
        <f t="shared" si="0"/>
        <v>12</v>
      </c>
    </row>
    <row r="14" spans="1:24" ht="15.75" thickBot="1" x14ac:dyDescent="0.3">
      <c r="A14" s="396"/>
      <c r="B14" s="177"/>
      <c r="C14" s="165"/>
      <c r="D14" s="179"/>
      <c r="E14" s="179"/>
      <c r="F14" s="179"/>
      <c r="G14" s="179"/>
      <c r="H14" s="166"/>
      <c r="I14" s="167"/>
      <c r="J14" s="165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257"/>
      <c r="X14" s="208">
        <f t="shared" si="0"/>
        <v>0</v>
      </c>
    </row>
    <row r="15" spans="1:24" ht="31.5" customHeight="1" thickBot="1" x14ac:dyDescent="0.3">
      <c r="A15" s="395" t="s">
        <v>231</v>
      </c>
      <c r="B15" s="159"/>
      <c r="C15" s="160">
        <v>700</v>
      </c>
      <c r="D15" s="161">
        <v>530</v>
      </c>
      <c r="E15" s="161">
        <v>570</v>
      </c>
      <c r="F15" s="161">
        <v>400</v>
      </c>
      <c r="G15" s="161">
        <v>150</v>
      </c>
      <c r="H15" s="161">
        <v>60</v>
      </c>
      <c r="I15" s="180">
        <v>120</v>
      </c>
      <c r="J15" s="160">
        <v>15</v>
      </c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256"/>
      <c r="X15" s="208">
        <f t="shared" si="0"/>
        <v>2545</v>
      </c>
    </row>
    <row r="16" spans="1:24" ht="15.75" thickBot="1" x14ac:dyDescent="0.3">
      <c r="A16" s="396"/>
      <c r="B16" s="177"/>
      <c r="C16" s="178"/>
      <c r="D16" s="179"/>
      <c r="E16" s="179"/>
      <c r="F16" s="179"/>
      <c r="G16" s="179"/>
      <c r="H16" s="179"/>
      <c r="I16" s="181"/>
      <c r="J16" s="178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257"/>
      <c r="X16" s="208">
        <f t="shared" si="0"/>
        <v>0</v>
      </c>
    </row>
    <row r="17" spans="1:24" ht="15.75" thickBot="1" x14ac:dyDescent="0.3">
      <c r="A17" s="395" t="s">
        <v>232</v>
      </c>
      <c r="B17" s="159"/>
      <c r="C17" s="160"/>
      <c r="D17" s="161"/>
      <c r="E17" s="161"/>
      <c r="F17" s="161"/>
      <c r="G17" s="161"/>
      <c r="H17" s="161"/>
      <c r="I17" s="180"/>
      <c r="J17" s="160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256"/>
      <c r="X17" s="208">
        <f t="shared" si="0"/>
        <v>0</v>
      </c>
    </row>
    <row r="18" spans="1:24" ht="15.75" thickBot="1" x14ac:dyDescent="0.3">
      <c r="A18" s="396"/>
      <c r="B18" s="177"/>
      <c r="C18" s="165"/>
      <c r="D18" s="166"/>
      <c r="E18" s="166"/>
      <c r="F18" s="166"/>
      <c r="G18" s="166"/>
      <c r="H18" s="179">
        <v>0.42</v>
      </c>
      <c r="I18" s="181">
        <v>0.84</v>
      </c>
      <c r="J18" s="165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257"/>
      <c r="X18" s="208">
        <f t="shared" si="0"/>
        <v>1.26</v>
      </c>
    </row>
    <row r="19" spans="1:24" ht="31.5" customHeight="1" thickBot="1" x14ac:dyDescent="0.3">
      <c r="A19" s="395" t="s">
        <v>233</v>
      </c>
      <c r="B19" s="159"/>
      <c r="C19" s="176"/>
      <c r="D19" s="162"/>
      <c r="E19" s="162"/>
      <c r="F19" s="162"/>
      <c r="G19" s="162"/>
      <c r="H19" s="162"/>
      <c r="I19" s="163"/>
      <c r="J19" s="176"/>
      <c r="K19" s="161">
        <v>160</v>
      </c>
      <c r="L19" s="162"/>
      <c r="M19" s="161">
        <v>30</v>
      </c>
      <c r="N19" s="162"/>
      <c r="O19" s="162"/>
      <c r="P19" s="162"/>
      <c r="Q19" s="162"/>
      <c r="R19" s="162"/>
      <c r="S19" s="162"/>
      <c r="T19" s="162"/>
      <c r="U19" s="162"/>
      <c r="V19" s="162"/>
      <c r="W19" s="256"/>
      <c r="X19" s="208">
        <f t="shared" si="0"/>
        <v>190</v>
      </c>
    </row>
    <row r="20" spans="1:24" ht="15.75" thickBot="1" x14ac:dyDescent="0.3">
      <c r="A20" s="396"/>
      <c r="B20" s="177"/>
      <c r="C20" s="165"/>
      <c r="D20" s="166"/>
      <c r="E20" s="166"/>
      <c r="F20" s="166"/>
      <c r="G20" s="166"/>
      <c r="H20" s="166"/>
      <c r="I20" s="167"/>
      <c r="J20" s="165"/>
      <c r="K20" s="179"/>
      <c r="L20" s="166"/>
      <c r="M20" s="179"/>
      <c r="N20" s="166"/>
      <c r="O20" s="166"/>
      <c r="P20" s="166"/>
      <c r="Q20" s="166"/>
      <c r="R20" s="166"/>
      <c r="S20" s="166"/>
      <c r="T20" s="166"/>
      <c r="U20" s="166"/>
      <c r="V20" s="166"/>
      <c r="W20" s="257"/>
      <c r="X20" s="208">
        <f t="shared" si="0"/>
        <v>0</v>
      </c>
    </row>
    <row r="21" spans="1:24" ht="31.5" customHeight="1" thickBot="1" x14ac:dyDescent="0.3">
      <c r="A21" s="395" t="s">
        <v>234</v>
      </c>
      <c r="B21" s="159"/>
      <c r="C21" s="176"/>
      <c r="D21" s="161">
        <v>1</v>
      </c>
      <c r="E21" s="161">
        <v>1.5</v>
      </c>
      <c r="F21" s="161">
        <v>1.25</v>
      </c>
      <c r="G21" s="161">
        <v>1.25</v>
      </c>
      <c r="H21" s="162"/>
      <c r="I21" s="163"/>
      <c r="J21" s="176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256"/>
      <c r="X21" s="208">
        <f t="shared" si="0"/>
        <v>5</v>
      </c>
    </row>
    <row r="22" spans="1:24" ht="15.75" thickBot="1" x14ac:dyDescent="0.3">
      <c r="A22" s="396"/>
      <c r="B22" s="177"/>
      <c r="C22" s="165"/>
      <c r="D22" s="179"/>
      <c r="E22" s="179"/>
      <c r="F22" s="179"/>
      <c r="G22" s="179"/>
      <c r="H22" s="166"/>
      <c r="I22" s="167"/>
      <c r="J22" s="165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257"/>
      <c r="X22" s="208">
        <f t="shared" si="0"/>
        <v>0</v>
      </c>
    </row>
    <row r="23" spans="1:24" ht="31.5" customHeight="1" thickBot="1" x14ac:dyDescent="0.3">
      <c r="A23" s="395" t="s">
        <v>235</v>
      </c>
      <c r="B23" s="159"/>
      <c r="C23" s="176"/>
      <c r="D23" s="161">
        <v>8</v>
      </c>
      <c r="E23" s="161">
        <v>12</v>
      </c>
      <c r="F23" s="161">
        <v>10</v>
      </c>
      <c r="G23" s="161">
        <v>10</v>
      </c>
      <c r="H23" s="162"/>
      <c r="I23" s="163"/>
      <c r="J23" s="176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256"/>
      <c r="X23" s="208">
        <f t="shared" si="0"/>
        <v>40</v>
      </c>
    </row>
    <row r="24" spans="1:24" ht="15.75" thickBot="1" x14ac:dyDescent="0.3">
      <c r="A24" s="396"/>
      <c r="B24" s="177"/>
      <c r="C24" s="165"/>
      <c r="D24" s="179"/>
      <c r="E24" s="179"/>
      <c r="F24" s="179"/>
      <c r="G24" s="179"/>
      <c r="H24" s="166"/>
      <c r="I24" s="167"/>
      <c r="J24" s="165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257"/>
      <c r="X24" s="208">
        <f t="shared" si="0"/>
        <v>0</v>
      </c>
    </row>
    <row r="25" spans="1:24" ht="31.5" customHeight="1" thickBot="1" x14ac:dyDescent="0.3">
      <c r="A25" s="395" t="s">
        <v>236</v>
      </c>
      <c r="B25" s="159"/>
      <c r="C25" s="160">
        <v>5.6</v>
      </c>
      <c r="D25" s="161">
        <v>3.6</v>
      </c>
      <c r="E25" s="161">
        <v>3.6</v>
      </c>
      <c r="F25" s="161">
        <v>2.4</v>
      </c>
      <c r="G25" s="161">
        <v>0.6</v>
      </c>
      <c r="H25" s="162"/>
      <c r="I25" s="163"/>
      <c r="J25" s="176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256"/>
      <c r="X25" s="208">
        <f t="shared" si="0"/>
        <v>15.799999999999999</v>
      </c>
    </row>
    <row r="26" spans="1:24" ht="15.75" thickBot="1" x14ac:dyDescent="0.3">
      <c r="A26" s="396"/>
      <c r="B26" s="177"/>
      <c r="C26" s="178"/>
      <c r="D26" s="179"/>
      <c r="E26" s="179"/>
      <c r="F26" s="179"/>
      <c r="G26" s="179"/>
      <c r="H26" s="166"/>
      <c r="I26" s="167"/>
      <c r="J26" s="165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257"/>
      <c r="X26" s="208">
        <f t="shared" si="0"/>
        <v>0</v>
      </c>
    </row>
    <row r="27" spans="1:24" ht="15.75" thickBot="1" x14ac:dyDescent="0.3">
      <c r="A27" s="395" t="s">
        <v>237</v>
      </c>
      <c r="B27" s="159"/>
      <c r="C27" s="160"/>
      <c r="D27" s="161"/>
      <c r="E27" s="161"/>
      <c r="F27" s="161"/>
      <c r="G27" s="161"/>
      <c r="H27" s="162"/>
      <c r="I27" s="163"/>
      <c r="J27" s="176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256"/>
      <c r="X27" s="208">
        <f t="shared" si="0"/>
        <v>0</v>
      </c>
    </row>
    <row r="28" spans="1:24" ht="15.75" thickBot="1" x14ac:dyDescent="0.3">
      <c r="A28" s="396"/>
      <c r="B28" s="177"/>
      <c r="C28" s="165"/>
      <c r="D28" s="166"/>
      <c r="E28" s="166"/>
      <c r="F28" s="166"/>
      <c r="G28" s="166"/>
      <c r="H28" s="166"/>
      <c r="I28" s="167"/>
      <c r="J28" s="165"/>
      <c r="K28" s="166"/>
      <c r="L28" s="166"/>
      <c r="M28" s="179">
        <v>11</v>
      </c>
      <c r="N28" s="166"/>
      <c r="O28" s="166"/>
      <c r="P28" s="166"/>
      <c r="Q28" s="166"/>
      <c r="R28" s="166"/>
      <c r="S28" s="166"/>
      <c r="T28" s="166"/>
      <c r="U28" s="166"/>
      <c r="V28" s="166"/>
      <c r="W28" s="257"/>
      <c r="X28" s="208">
        <f t="shared" si="0"/>
        <v>11</v>
      </c>
    </row>
    <row r="29" spans="1:24" ht="31.5" customHeight="1" thickBot="1" x14ac:dyDescent="0.3">
      <c r="A29" s="395" t="s">
        <v>238</v>
      </c>
      <c r="B29" s="159"/>
      <c r="C29" s="176"/>
      <c r="D29" s="162"/>
      <c r="E29" s="162"/>
      <c r="F29" s="162"/>
      <c r="G29" s="162"/>
      <c r="H29" s="161">
        <v>45</v>
      </c>
      <c r="I29" s="180">
        <v>90</v>
      </c>
      <c r="J29" s="176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256"/>
      <c r="X29" s="208">
        <f t="shared" si="0"/>
        <v>135</v>
      </c>
    </row>
    <row r="30" spans="1:24" ht="15.75" thickBot="1" x14ac:dyDescent="0.3">
      <c r="A30" s="396"/>
      <c r="B30" s="177"/>
      <c r="C30" s="165"/>
      <c r="D30" s="166"/>
      <c r="E30" s="166"/>
      <c r="F30" s="166"/>
      <c r="G30" s="166"/>
      <c r="H30" s="179"/>
      <c r="I30" s="181"/>
      <c r="J30" s="165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257"/>
      <c r="X30" s="208">
        <f t="shared" si="0"/>
        <v>0</v>
      </c>
    </row>
    <row r="31" spans="1:24" ht="31.5" customHeight="1" thickBot="1" x14ac:dyDescent="0.3">
      <c r="A31" s="395" t="s">
        <v>239</v>
      </c>
      <c r="B31" s="159"/>
      <c r="C31" s="176"/>
      <c r="D31" s="162"/>
      <c r="E31" s="162"/>
      <c r="F31" s="162"/>
      <c r="G31" s="162"/>
      <c r="H31" s="162"/>
      <c r="I31" s="163"/>
      <c r="J31" s="176"/>
      <c r="K31" s="162"/>
      <c r="L31" s="162"/>
      <c r="M31" s="161">
        <v>15</v>
      </c>
      <c r="N31" s="162"/>
      <c r="O31" s="162"/>
      <c r="P31" s="162"/>
      <c r="Q31" s="162"/>
      <c r="R31" s="162"/>
      <c r="S31" s="162"/>
      <c r="T31" s="162"/>
      <c r="U31" s="162"/>
      <c r="V31" s="162"/>
      <c r="W31" s="256"/>
      <c r="X31" s="208">
        <f t="shared" si="0"/>
        <v>15</v>
      </c>
    </row>
    <row r="32" spans="1:24" ht="15.75" thickBot="1" x14ac:dyDescent="0.3">
      <c r="A32" s="396"/>
      <c r="B32" s="177"/>
      <c r="C32" s="165"/>
      <c r="D32" s="166"/>
      <c r="E32" s="166"/>
      <c r="F32" s="166"/>
      <c r="G32" s="166"/>
      <c r="H32" s="166"/>
      <c r="I32" s="167"/>
      <c r="J32" s="165"/>
      <c r="K32" s="166"/>
      <c r="L32" s="166"/>
      <c r="M32" s="179"/>
      <c r="N32" s="166"/>
      <c r="O32" s="166"/>
      <c r="P32" s="166"/>
      <c r="Q32" s="166"/>
      <c r="R32" s="166"/>
      <c r="S32" s="166"/>
      <c r="T32" s="166"/>
      <c r="U32" s="166"/>
      <c r="V32" s="166"/>
      <c r="W32" s="257"/>
      <c r="X32" s="208">
        <f t="shared" si="0"/>
        <v>0</v>
      </c>
    </row>
    <row r="33" spans="1:24" ht="61.5" customHeight="1" thickBot="1" x14ac:dyDescent="0.3">
      <c r="A33" s="395" t="s">
        <v>240</v>
      </c>
      <c r="B33" s="159"/>
      <c r="C33" s="176"/>
      <c r="D33" s="162"/>
      <c r="E33" s="162"/>
      <c r="F33" s="162"/>
      <c r="G33" s="162"/>
      <c r="H33" s="162"/>
      <c r="I33" s="163"/>
      <c r="J33" s="176"/>
      <c r="K33" s="161">
        <v>30</v>
      </c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256"/>
      <c r="X33" s="208">
        <f t="shared" si="0"/>
        <v>30</v>
      </c>
    </row>
    <row r="34" spans="1:24" ht="15.75" thickBot="1" x14ac:dyDescent="0.3">
      <c r="A34" s="396"/>
      <c r="B34" s="177"/>
      <c r="C34" s="165"/>
      <c r="D34" s="166"/>
      <c r="E34" s="166"/>
      <c r="F34" s="166"/>
      <c r="G34" s="166"/>
      <c r="H34" s="166"/>
      <c r="I34" s="167"/>
      <c r="J34" s="165"/>
      <c r="K34" s="179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257"/>
      <c r="X34" s="208">
        <f t="shared" si="0"/>
        <v>0</v>
      </c>
    </row>
    <row r="35" spans="1:24" ht="31.5" customHeight="1" thickBot="1" x14ac:dyDescent="0.3">
      <c r="A35" s="395" t="s">
        <v>241</v>
      </c>
      <c r="B35" s="159"/>
      <c r="C35" s="176"/>
      <c r="D35" s="161">
        <v>6</v>
      </c>
      <c r="E35" s="161">
        <v>9</v>
      </c>
      <c r="F35" s="161">
        <v>7.5</v>
      </c>
      <c r="G35" s="161">
        <v>7.5</v>
      </c>
      <c r="H35" s="162"/>
      <c r="I35" s="163"/>
      <c r="J35" s="176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256"/>
      <c r="X35" s="208">
        <f t="shared" si="0"/>
        <v>30</v>
      </c>
    </row>
    <row r="36" spans="1:24" ht="15.75" thickBot="1" x14ac:dyDescent="0.3">
      <c r="A36" s="396"/>
      <c r="B36" s="177"/>
      <c r="C36" s="165"/>
      <c r="D36" s="179"/>
      <c r="E36" s="179"/>
      <c r="F36" s="179"/>
      <c r="G36" s="179"/>
      <c r="H36" s="166"/>
      <c r="I36" s="167"/>
      <c r="J36" s="165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257"/>
      <c r="X36" s="208">
        <f t="shared" si="0"/>
        <v>0</v>
      </c>
    </row>
    <row r="37" spans="1:24" ht="15.75" thickBot="1" x14ac:dyDescent="0.3">
      <c r="A37" s="395" t="s">
        <v>242</v>
      </c>
      <c r="B37" s="159"/>
      <c r="C37" s="176"/>
      <c r="D37" s="161">
        <v>0.4</v>
      </c>
      <c r="E37" s="161">
        <v>0.6</v>
      </c>
      <c r="F37" s="161">
        <v>0.5</v>
      </c>
      <c r="G37" s="161">
        <v>0.5</v>
      </c>
      <c r="H37" s="162"/>
      <c r="I37" s="163"/>
      <c r="J37" s="176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256"/>
      <c r="X37" s="208">
        <f t="shared" si="0"/>
        <v>2</v>
      </c>
    </row>
    <row r="38" spans="1:24" ht="15.75" thickBot="1" x14ac:dyDescent="0.3">
      <c r="A38" s="396"/>
      <c r="B38" s="177"/>
      <c r="C38" s="165"/>
      <c r="D38" s="179"/>
      <c r="E38" s="179"/>
      <c r="F38" s="179"/>
      <c r="G38" s="179"/>
      <c r="H38" s="166"/>
      <c r="I38" s="167"/>
      <c r="J38" s="165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257"/>
      <c r="X38" s="208">
        <f t="shared" si="0"/>
        <v>0</v>
      </c>
    </row>
    <row r="39" spans="1:24" ht="15.75" thickBot="1" x14ac:dyDescent="0.3">
      <c r="A39" s="395" t="s">
        <v>243</v>
      </c>
      <c r="B39" s="159"/>
      <c r="C39" s="176"/>
      <c r="D39" s="161"/>
      <c r="E39" s="161"/>
      <c r="F39" s="161"/>
      <c r="G39" s="161"/>
      <c r="H39" s="162"/>
      <c r="I39" s="163"/>
      <c r="J39" s="176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256"/>
      <c r="X39" s="208">
        <f t="shared" si="0"/>
        <v>0</v>
      </c>
    </row>
    <row r="40" spans="1:24" ht="15.75" thickBot="1" x14ac:dyDescent="0.3">
      <c r="A40" s="396"/>
      <c r="B40" s="177"/>
      <c r="C40" s="165"/>
      <c r="D40" s="166"/>
      <c r="E40" s="166"/>
      <c r="F40" s="166"/>
      <c r="G40" s="166"/>
      <c r="H40" s="166"/>
      <c r="I40" s="167"/>
      <c r="J40" s="165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257"/>
      <c r="X40" s="208">
        <f t="shared" si="0"/>
        <v>0</v>
      </c>
    </row>
    <row r="41" spans="1:24" ht="31.5" customHeight="1" thickBot="1" x14ac:dyDescent="0.3">
      <c r="A41" s="395" t="s">
        <v>244</v>
      </c>
      <c r="B41" s="159"/>
      <c r="C41" s="176"/>
      <c r="D41" s="162"/>
      <c r="E41" s="162"/>
      <c r="F41" s="162"/>
      <c r="G41" s="162"/>
      <c r="H41" s="162"/>
      <c r="I41" s="163"/>
      <c r="J41" s="176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256"/>
      <c r="X41" s="208">
        <f t="shared" si="0"/>
        <v>0</v>
      </c>
    </row>
    <row r="42" spans="1:24" ht="15.75" thickBot="1" x14ac:dyDescent="0.3">
      <c r="A42" s="396"/>
      <c r="B42" s="177"/>
      <c r="C42" s="165"/>
      <c r="D42" s="166"/>
      <c r="E42" s="166"/>
      <c r="F42" s="166"/>
      <c r="G42" s="166"/>
      <c r="H42" s="166"/>
      <c r="I42" s="167"/>
      <c r="J42" s="165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257"/>
      <c r="X42" s="208">
        <f t="shared" si="0"/>
        <v>0</v>
      </c>
    </row>
    <row r="43" spans="1:24" ht="31.5" customHeight="1" thickBot="1" x14ac:dyDescent="0.3">
      <c r="A43" s="399" t="s">
        <v>245</v>
      </c>
      <c r="B43" s="183"/>
      <c r="C43" s="176"/>
      <c r="D43" s="162"/>
      <c r="E43" s="162"/>
      <c r="F43" s="162"/>
      <c r="G43" s="162"/>
      <c r="H43" s="162"/>
      <c r="I43" s="163"/>
      <c r="J43" s="176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256"/>
      <c r="X43" s="208">
        <f t="shared" si="0"/>
        <v>0</v>
      </c>
    </row>
    <row r="44" spans="1:24" ht="15.75" thickBot="1" x14ac:dyDescent="0.3">
      <c r="A44" s="400"/>
      <c r="B44" s="164"/>
      <c r="C44" s="165"/>
      <c r="D44" s="166"/>
      <c r="E44" s="166"/>
      <c r="F44" s="166"/>
      <c r="G44" s="166"/>
      <c r="H44" s="166"/>
      <c r="I44" s="167"/>
      <c r="J44" s="165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257"/>
      <c r="X44" s="208">
        <f t="shared" si="0"/>
        <v>0</v>
      </c>
    </row>
    <row r="45" spans="1:24" ht="15.75" thickBot="1" x14ac:dyDescent="0.3">
      <c r="A45" s="399" t="s">
        <v>246</v>
      </c>
      <c r="B45" s="183"/>
      <c r="C45" s="160">
        <v>5.6</v>
      </c>
      <c r="D45" s="161">
        <v>3.6</v>
      </c>
      <c r="E45" s="184">
        <v>3.6</v>
      </c>
      <c r="F45" s="161">
        <v>2.4</v>
      </c>
      <c r="G45" s="161">
        <v>0.4</v>
      </c>
      <c r="H45" s="162"/>
      <c r="I45" s="163"/>
      <c r="J45" s="176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256"/>
      <c r="X45" s="208">
        <f t="shared" si="0"/>
        <v>15.6</v>
      </c>
    </row>
    <row r="46" spans="1:24" ht="15.75" thickBot="1" x14ac:dyDescent="0.3">
      <c r="A46" s="400"/>
      <c r="B46" s="164"/>
      <c r="C46" s="178"/>
      <c r="D46" s="179"/>
      <c r="E46" s="185"/>
      <c r="F46" s="179"/>
      <c r="G46" s="179"/>
      <c r="H46" s="166"/>
      <c r="I46" s="167"/>
      <c r="J46" s="165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257"/>
      <c r="X46" s="208">
        <f t="shared" si="0"/>
        <v>0</v>
      </c>
    </row>
    <row r="47" spans="1:24" ht="61.5" customHeight="1" thickBot="1" x14ac:dyDescent="0.3">
      <c r="A47" s="399" t="s">
        <v>247</v>
      </c>
      <c r="B47" s="183"/>
      <c r="C47" s="176"/>
      <c r="D47" s="162"/>
      <c r="E47" s="162"/>
      <c r="F47" s="162"/>
      <c r="G47" s="162"/>
      <c r="H47" s="162"/>
      <c r="I47" s="163"/>
      <c r="J47" s="176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256"/>
      <c r="X47" s="208">
        <f t="shared" si="0"/>
        <v>0</v>
      </c>
    </row>
    <row r="48" spans="1:24" ht="15.75" thickBot="1" x14ac:dyDescent="0.3">
      <c r="A48" s="400"/>
      <c r="B48" s="164"/>
      <c r="C48" s="165"/>
      <c r="D48" s="166"/>
      <c r="E48" s="166"/>
      <c r="F48" s="166"/>
      <c r="G48" s="166"/>
      <c r="H48" s="166"/>
      <c r="I48" s="167"/>
      <c r="J48" s="165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257"/>
      <c r="X48" s="208">
        <f t="shared" si="0"/>
        <v>0</v>
      </c>
    </row>
    <row r="49" spans="1:24" ht="46.5" customHeight="1" thickBot="1" x14ac:dyDescent="0.3">
      <c r="A49" s="399" t="s">
        <v>248</v>
      </c>
      <c r="B49" s="183"/>
      <c r="C49" s="176"/>
      <c r="D49" s="162"/>
      <c r="E49" s="162"/>
      <c r="F49" s="162"/>
      <c r="G49" s="162"/>
      <c r="H49" s="162"/>
      <c r="I49" s="163"/>
      <c r="J49" s="176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256"/>
      <c r="X49" s="208">
        <f t="shared" si="0"/>
        <v>0</v>
      </c>
    </row>
    <row r="50" spans="1:24" ht="15.75" thickBot="1" x14ac:dyDescent="0.3">
      <c r="A50" s="400"/>
      <c r="B50" s="164"/>
      <c r="C50" s="165"/>
      <c r="D50" s="166"/>
      <c r="E50" s="166"/>
      <c r="F50" s="166"/>
      <c r="G50" s="166"/>
      <c r="H50" s="166"/>
      <c r="I50" s="167"/>
      <c r="J50" s="165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257"/>
      <c r="X50" s="208">
        <f t="shared" si="0"/>
        <v>0</v>
      </c>
    </row>
    <row r="51" spans="1:24" ht="31.5" customHeight="1" thickBot="1" x14ac:dyDescent="0.3">
      <c r="A51" s="399" t="s">
        <v>249</v>
      </c>
      <c r="B51" s="183"/>
      <c r="C51" s="176"/>
      <c r="D51" s="161">
        <v>140</v>
      </c>
      <c r="E51" s="161">
        <v>210</v>
      </c>
      <c r="F51" s="161">
        <v>175</v>
      </c>
      <c r="G51" s="161">
        <v>175</v>
      </c>
      <c r="H51" s="162"/>
      <c r="I51" s="163"/>
      <c r="J51" s="176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256"/>
      <c r="X51" s="208">
        <f t="shared" si="0"/>
        <v>700</v>
      </c>
    </row>
    <row r="52" spans="1:24" ht="15.75" thickBot="1" x14ac:dyDescent="0.3">
      <c r="A52" s="400"/>
      <c r="B52" s="164"/>
      <c r="C52" s="165"/>
      <c r="D52" s="179"/>
      <c r="E52" s="179"/>
      <c r="F52" s="179"/>
      <c r="G52" s="179"/>
      <c r="H52" s="166"/>
      <c r="I52" s="167"/>
      <c r="J52" s="165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257"/>
      <c r="X52" s="208">
        <f t="shared" si="0"/>
        <v>0</v>
      </c>
    </row>
    <row r="53" spans="1:24" ht="31.5" customHeight="1" thickBot="1" x14ac:dyDescent="0.3">
      <c r="A53" s="399" t="s">
        <v>250</v>
      </c>
      <c r="B53" s="183"/>
      <c r="C53" s="176"/>
      <c r="D53" s="161">
        <v>6</v>
      </c>
      <c r="E53" s="161">
        <v>9</v>
      </c>
      <c r="F53" s="161">
        <v>7.5</v>
      </c>
      <c r="G53" s="161">
        <v>7.5</v>
      </c>
      <c r="H53" s="162"/>
      <c r="I53" s="163"/>
      <c r="J53" s="176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256"/>
      <c r="X53" s="208">
        <f t="shared" si="0"/>
        <v>30</v>
      </c>
    </row>
    <row r="54" spans="1:24" ht="15.75" thickBot="1" x14ac:dyDescent="0.3">
      <c r="A54" s="400"/>
      <c r="B54" s="164"/>
      <c r="C54" s="165"/>
      <c r="D54" s="179"/>
      <c r="E54" s="179"/>
      <c r="F54" s="179"/>
      <c r="G54" s="179"/>
      <c r="H54" s="166"/>
      <c r="I54" s="167"/>
      <c r="J54" s="165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257"/>
      <c r="X54" s="208">
        <f t="shared" si="0"/>
        <v>0</v>
      </c>
    </row>
    <row r="55" spans="1:24" ht="15.75" thickBot="1" x14ac:dyDescent="0.3">
      <c r="A55" s="399" t="s">
        <v>251</v>
      </c>
      <c r="B55" s="183"/>
      <c r="C55" s="160">
        <v>28</v>
      </c>
      <c r="D55" s="161">
        <v>18</v>
      </c>
      <c r="E55" s="161">
        <v>18</v>
      </c>
      <c r="F55" s="161">
        <v>12</v>
      </c>
      <c r="G55" s="161">
        <v>2</v>
      </c>
      <c r="H55" s="162"/>
      <c r="I55" s="163"/>
      <c r="J55" s="176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256"/>
      <c r="X55" s="208">
        <f t="shared" si="0"/>
        <v>78</v>
      </c>
    </row>
    <row r="56" spans="1:24" ht="15.75" thickBot="1" x14ac:dyDescent="0.3">
      <c r="A56" s="400"/>
      <c r="B56" s="164"/>
      <c r="C56" s="178"/>
      <c r="D56" s="179"/>
      <c r="E56" s="179"/>
      <c r="F56" s="179"/>
      <c r="G56" s="179"/>
      <c r="H56" s="166"/>
      <c r="I56" s="167"/>
      <c r="J56" s="165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257"/>
      <c r="X56" s="208">
        <f t="shared" si="0"/>
        <v>0</v>
      </c>
    </row>
    <row r="57" spans="1:24" ht="15.75" thickBot="1" x14ac:dyDescent="0.3">
      <c r="A57" s="399" t="s">
        <v>252</v>
      </c>
      <c r="B57" s="183"/>
      <c r="C57" s="160"/>
      <c r="D57" s="161"/>
      <c r="E57" s="161"/>
      <c r="F57" s="161"/>
      <c r="G57" s="161"/>
      <c r="H57" s="162"/>
      <c r="I57" s="163"/>
      <c r="J57" s="176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256"/>
      <c r="X57" s="208">
        <f t="shared" si="0"/>
        <v>0</v>
      </c>
    </row>
    <row r="58" spans="1:24" ht="36" customHeight="1" thickBot="1" x14ac:dyDescent="0.3">
      <c r="A58" s="400"/>
      <c r="B58" s="164"/>
      <c r="C58" s="178">
        <v>1.1200000000000001</v>
      </c>
      <c r="D58" s="179">
        <v>0.72</v>
      </c>
      <c r="E58" s="179">
        <v>0.72</v>
      </c>
      <c r="F58" s="179">
        <v>0.48</v>
      </c>
      <c r="G58" s="179">
        <v>0.08</v>
      </c>
      <c r="H58" s="166"/>
      <c r="I58" s="167"/>
      <c r="J58" s="165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257"/>
      <c r="X58" s="208">
        <f t="shared" si="0"/>
        <v>3.12</v>
      </c>
    </row>
    <row r="59" spans="1:24" ht="15.75" thickBot="1" x14ac:dyDescent="0.3">
      <c r="A59" s="399" t="s">
        <v>87</v>
      </c>
      <c r="B59" s="183"/>
      <c r="C59" s="176"/>
      <c r="D59" s="162"/>
      <c r="E59" s="162"/>
      <c r="F59" s="162"/>
      <c r="G59" s="162"/>
      <c r="H59" s="161">
        <v>0.15</v>
      </c>
      <c r="I59" s="180">
        <v>0.2</v>
      </c>
      <c r="J59" s="160">
        <v>0.15</v>
      </c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256"/>
      <c r="X59" s="208">
        <f t="shared" si="0"/>
        <v>0.5</v>
      </c>
    </row>
    <row r="60" spans="1:24" ht="15.75" thickBot="1" x14ac:dyDescent="0.3">
      <c r="A60" s="400"/>
      <c r="B60" s="164"/>
      <c r="C60" s="165"/>
      <c r="D60" s="166"/>
      <c r="E60" s="166"/>
      <c r="F60" s="166"/>
      <c r="G60" s="166"/>
      <c r="H60" s="179"/>
      <c r="I60" s="181"/>
      <c r="J60" s="178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257"/>
      <c r="X60" s="208">
        <f t="shared" si="0"/>
        <v>0</v>
      </c>
    </row>
    <row r="61" spans="1:24" ht="31.5" customHeight="1" thickBot="1" x14ac:dyDescent="0.3">
      <c r="A61" s="399" t="s">
        <v>253</v>
      </c>
      <c r="B61" s="183"/>
      <c r="C61" s="160">
        <v>56</v>
      </c>
      <c r="D61" s="161">
        <v>36</v>
      </c>
      <c r="E61" s="161">
        <v>36</v>
      </c>
      <c r="F61" s="161">
        <v>24</v>
      </c>
      <c r="G61" s="161">
        <v>4</v>
      </c>
      <c r="H61" s="162"/>
      <c r="I61" s="163"/>
      <c r="J61" s="176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256"/>
      <c r="X61" s="208">
        <f t="shared" si="0"/>
        <v>156</v>
      </c>
    </row>
    <row r="62" spans="1:24" ht="15.75" thickBot="1" x14ac:dyDescent="0.3">
      <c r="A62" s="400"/>
      <c r="B62" s="164"/>
      <c r="C62" s="178"/>
      <c r="D62" s="179"/>
      <c r="E62" s="179"/>
      <c r="F62" s="179"/>
      <c r="G62" s="179"/>
      <c r="H62" s="166"/>
      <c r="I62" s="167"/>
      <c r="J62" s="165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257"/>
      <c r="X62" s="208">
        <f t="shared" si="0"/>
        <v>0</v>
      </c>
    </row>
    <row r="63" spans="1:24" ht="31.5" customHeight="1" thickBot="1" x14ac:dyDescent="0.3">
      <c r="A63" s="401" t="s">
        <v>254</v>
      </c>
      <c r="B63" s="182"/>
      <c r="C63" s="175"/>
      <c r="D63" s="173"/>
      <c r="E63" s="173"/>
      <c r="F63" s="173"/>
      <c r="G63" s="173"/>
      <c r="H63" s="173"/>
      <c r="I63" s="174"/>
      <c r="J63" s="175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258"/>
      <c r="X63" s="208">
        <f t="shared" si="0"/>
        <v>0</v>
      </c>
    </row>
    <row r="64" spans="1:24" ht="15.75" thickBot="1" x14ac:dyDescent="0.3">
      <c r="A64" s="401"/>
      <c r="B64" s="168"/>
      <c r="C64" s="169"/>
      <c r="D64" s="170"/>
      <c r="E64" s="170"/>
      <c r="F64" s="170"/>
      <c r="G64" s="170"/>
      <c r="H64" s="170"/>
      <c r="I64" s="186"/>
      <c r="J64" s="169"/>
      <c r="K64" s="170"/>
      <c r="L64" s="170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259"/>
      <c r="X64" s="208">
        <f t="shared" si="0"/>
        <v>0</v>
      </c>
    </row>
    <row r="65" spans="1:24" ht="31.5" customHeight="1" thickBot="1" x14ac:dyDescent="0.3">
      <c r="A65" s="399" t="s">
        <v>255</v>
      </c>
      <c r="B65" s="183"/>
      <c r="C65" s="176"/>
      <c r="D65" s="161">
        <v>0.3</v>
      </c>
      <c r="E65" s="161">
        <v>0.45</v>
      </c>
      <c r="F65" s="161">
        <v>0.375</v>
      </c>
      <c r="G65" s="161">
        <v>0.375</v>
      </c>
      <c r="H65" s="162"/>
      <c r="I65" s="163"/>
      <c r="J65" s="176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256"/>
      <c r="X65" s="208">
        <f t="shared" si="0"/>
        <v>1.5</v>
      </c>
    </row>
    <row r="66" spans="1:24" ht="15.75" thickBot="1" x14ac:dyDescent="0.3">
      <c r="A66" s="400"/>
      <c r="B66" s="164"/>
      <c r="C66" s="165"/>
      <c r="D66" s="179"/>
      <c r="E66" s="179"/>
      <c r="F66" s="179"/>
      <c r="G66" s="179"/>
      <c r="H66" s="166"/>
      <c r="I66" s="167"/>
      <c r="J66" s="165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257"/>
      <c r="X66" s="208">
        <f t="shared" si="0"/>
        <v>0</v>
      </c>
    </row>
    <row r="67" spans="1:24" ht="15.75" thickBot="1" x14ac:dyDescent="0.3">
      <c r="A67" s="399" t="s">
        <v>88</v>
      </c>
      <c r="B67" s="183"/>
      <c r="C67" s="176"/>
      <c r="D67" s="161"/>
      <c r="E67" s="161"/>
      <c r="F67" s="161"/>
      <c r="G67" s="161"/>
      <c r="H67" s="162"/>
      <c r="I67" s="163"/>
      <c r="J67" s="176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256"/>
      <c r="X67" s="208">
        <f t="shared" si="0"/>
        <v>0</v>
      </c>
    </row>
    <row r="68" spans="1:24" ht="15.75" thickBot="1" x14ac:dyDescent="0.3">
      <c r="A68" s="400"/>
      <c r="B68" s="164"/>
      <c r="C68" s="165"/>
      <c r="D68" s="166"/>
      <c r="E68" s="166"/>
      <c r="F68" s="166"/>
      <c r="G68" s="166"/>
      <c r="H68" s="179">
        <v>0.15</v>
      </c>
      <c r="I68" s="181">
        <v>0.2</v>
      </c>
      <c r="J68" s="178">
        <v>0.15</v>
      </c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257"/>
      <c r="X68" s="208">
        <f t="shared" ref="X68:X84" si="1">SUM(C68:W68)</f>
        <v>0.5</v>
      </c>
    </row>
    <row r="69" spans="1:24" ht="31.5" customHeight="1" thickBot="1" x14ac:dyDescent="0.3">
      <c r="A69" s="399" t="s">
        <v>256</v>
      </c>
      <c r="B69" s="183"/>
      <c r="C69" s="176"/>
      <c r="D69" s="162"/>
      <c r="E69" s="162"/>
      <c r="F69" s="162"/>
      <c r="G69" s="162"/>
      <c r="H69" s="162"/>
      <c r="I69" s="163"/>
      <c r="J69" s="176"/>
      <c r="K69" s="162"/>
      <c r="L69" s="162"/>
      <c r="M69" s="161">
        <v>20</v>
      </c>
      <c r="N69" s="162"/>
      <c r="O69" s="162"/>
      <c r="P69" s="162"/>
      <c r="Q69" s="162"/>
      <c r="R69" s="162"/>
      <c r="S69" s="162"/>
      <c r="T69" s="162"/>
      <c r="U69" s="162"/>
      <c r="V69" s="162"/>
      <c r="W69" s="256"/>
      <c r="X69" s="208">
        <f t="shared" si="1"/>
        <v>20</v>
      </c>
    </row>
    <row r="70" spans="1:24" ht="15.75" thickBot="1" x14ac:dyDescent="0.3">
      <c r="A70" s="400"/>
      <c r="B70" s="164"/>
      <c r="C70" s="165"/>
      <c r="D70" s="166"/>
      <c r="E70" s="166"/>
      <c r="F70" s="166"/>
      <c r="G70" s="166"/>
      <c r="H70" s="166"/>
      <c r="I70" s="167"/>
      <c r="J70" s="165"/>
      <c r="K70" s="166"/>
      <c r="L70" s="166"/>
      <c r="M70" s="179"/>
      <c r="N70" s="166"/>
      <c r="O70" s="166"/>
      <c r="P70" s="166"/>
      <c r="Q70" s="166"/>
      <c r="R70" s="166"/>
      <c r="S70" s="166"/>
      <c r="T70" s="166"/>
      <c r="U70" s="166"/>
      <c r="V70" s="166"/>
      <c r="W70" s="257"/>
      <c r="X70" s="208">
        <f t="shared" si="1"/>
        <v>0</v>
      </c>
    </row>
    <row r="71" spans="1:24" ht="15.75" thickBot="1" x14ac:dyDescent="0.3">
      <c r="A71" s="399" t="s">
        <v>257</v>
      </c>
      <c r="B71" s="183"/>
      <c r="C71" s="160">
        <v>2.8</v>
      </c>
      <c r="D71" s="161">
        <v>1.8</v>
      </c>
      <c r="E71" s="161">
        <v>1.8</v>
      </c>
      <c r="F71" s="161">
        <v>1.2</v>
      </c>
      <c r="G71" s="161">
        <v>0.3</v>
      </c>
      <c r="H71" s="162"/>
      <c r="I71" s="163"/>
      <c r="J71" s="176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256"/>
      <c r="X71" s="208">
        <f t="shared" si="1"/>
        <v>7.8999999999999995</v>
      </c>
    </row>
    <row r="72" spans="1:24" ht="15.75" thickBot="1" x14ac:dyDescent="0.3">
      <c r="A72" s="400"/>
      <c r="B72" s="164"/>
      <c r="C72" s="178"/>
      <c r="D72" s="179"/>
      <c r="E72" s="179"/>
      <c r="F72" s="179"/>
      <c r="G72" s="179"/>
      <c r="H72" s="166"/>
      <c r="I72" s="167"/>
      <c r="J72" s="165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257"/>
      <c r="X72" s="208">
        <f t="shared" si="1"/>
        <v>0</v>
      </c>
    </row>
    <row r="73" spans="1:24" ht="31.5" customHeight="1" thickBot="1" x14ac:dyDescent="0.3">
      <c r="A73" s="399" t="s">
        <v>258</v>
      </c>
      <c r="B73" s="183"/>
      <c r="C73" s="176"/>
      <c r="D73" s="161">
        <v>20</v>
      </c>
      <c r="E73" s="161">
        <v>30</v>
      </c>
      <c r="F73" s="161">
        <v>25</v>
      </c>
      <c r="G73" s="161">
        <v>25</v>
      </c>
      <c r="H73" s="162"/>
      <c r="I73" s="163"/>
      <c r="J73" s="176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256"/>
      <c r="X73" s="208">
        <f t="shared" si="1"/>
        <v>100</v>
      </c>
    </row>
    <row r="74" spans="1:24" ht="15.75" thickBot="1" x14ac:dyDescent="0.3">
      <c r="A74" s="400"/>
      <c r="B74" s="164"/>
      <c r="C74" s="165"/>
      <c r="D74" s="179"/>
      <c r="E74" s="179"/>
      <c r="F74" s="179"/>
      <c r="G74" s="179"/>
      <c r="H74" s="166"/>
      <c r="I74" s="167"/>
      <c r="J74" s="165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257"/>
      <c r="X74" s="208">
        <f t="shared" si="1"/>
        <v>0</v>
      </c>
    </row>
    <row r="75" spans="1:24" ht="15.75" thickBot="1" x14ac:dyDescent="0.3">
      <c r="A75" s="399" t="s">
        <v>85</v>
      </c>
      <c r="B75" s="183"/>
      <c r="C75" s="160">
        <v>42</v>
      </c>
      <c r="D75" s="161">
        <v>27</v>
      </c>
      <c r="E75" s="161">
        <v>27</v>
      </c>
      <c r="F75" s="161">
        <v>18</v>
      </c>
      <c r="G75" s="161">
        <v>3.2</v>
      </c>
      <c r="H75" s="162"/>
      <c r="I75" s="163"/>
      <c r="J75" s="176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256"/>
      <c r="X75" s="208">
        <f t="shared" si="1"/>
        <v>117.2</v>
      </c>
    </row>
    <row r="76" spans="1:24" ht="15.75" thickBot="1" x14ac:dyDescent="0.3">
      <c r="A76" s="400"/>
      <c r="B76" s="164"/>
      <c r="C76" s="178"/>
      <c r="D76" s="179"/>
      <c r="E76" s="179"/>
      <c r="F76" s="179"/>
      <c r="G76" s="179"/>
      <c r="H76" s="166"/>
      <c r="I76" s="167"/>
      <c r="J76" s="165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257"/>
      <c r="X76" s="208">
        <f t="shared" si="1"/>
        <v>0</v>
      </c>
    </row>
    <row r="77" spans="1:24" ht="15.75" thickBot="1" x14ac:dyDescent="0.3">
      <c r="A77" s="399" t="s">
        <v>259</v>
      </c>
      <c r="B77" s="183"/>
      <c r="C77" s="160"/>
      <c r="D77" s="161"/>
      <c r="E77" s="161"/>
      <c r="F77" s="161"/>
      <c r="G77" s="161"/>
      <c r="H77" s="162"/>
      <c r="I77" s="163"/>
      <c r="J77" s="176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256"/>
      <c r="X77" s="208">
        <f t="shared" si="1"/>
        <v>0</v>
      </c>
    </row>
    <row r="78" spans="1:24" ht="15.75" thickBot="1" x14ac:dyDescent="0.3">
      <c r="A78" s="400"/>
      <c r="B78" s="164"/>
      <c r="C78" s="178">
        <v>2100</v>
      </c>
      <c r="D78" s="179">
        <v>1350</v>
      </c>
      <c r="E78" s="179">
        <v>1350</v>
      </c>
      <c r="F78" s="179">
        <v>900</v>
      </c>
      <c r="G78" s="179">
        <v>150</v>
      </c>
      <c r="H78" s="166"/>
      <c r="I78" s="167"/>
      <c r="J78" s="165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257"/>
      <c r="X78" s="208">
        <f t="shared" si="1"/>
        <v>5850</v>
      </c>
    </row>
    <row r="79" spans="1:24" ht="15.75" thickBot="1" x14ac:dyDescent="0.3">
      <c r="A79" s="399" t="s">
        <v>260</v>
      </c>
      <c r="B79" s="183"/>
      <c r="C79" s="176"/>
      <c r="D79" s="162"/>
      <c r="E79" s="162"/>
      <c r="F79" s="162"/>
      <c r="G79" s="162"/>
      <c r="H79" s="161">
        <v>0.15</v>
      </c>
      <c r="I79" s="180">
        <v>0.3</v>
      </c>
      <c r="J79" s="160">
        <v>0.3</v>
      </c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256"/>
      <c r="X79" s="208">
        <f t="shared" si="1"/>
        <v>0.75</v>
      </c>
    </row>
    <row r="80" spans="1:24" ht="15.75" thickBot="1" x14ac:dyDescent="0.3">
      <c r="A80" s="400"/>
      <c r="B80" s="164"/>
      <c r="C80" s="165"/>
      <c r="D80" s="166"/>
      <c r="E80" s="166"/>
      <c r="F80" s="166"/>
      <c r="G80" s="166"/>
      <c r="H80" s="179"/>
      <c r="I80" s="181"/>
      <c r="J80" s="178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257"/>
      <c r="X80" s="208">
        <f t="shared" si="1"/>
        <v>0</v>
      </c>
    </row>
    <row r="81" spans="1:24" ht="31.5" customHeight="1" thickBot="1" x14ac:dyDescent="0.3">
      <c r="A81" s="402" t="s">
        <v>261</v>
      </c>
      <c r="B81" s="187"/>
      <c r="C81" s="176"/>
      <c r="D81" s="162"/>
      <c r="E81" s="162"/>
      <c r="F81" s="162"/>
      <c r="G81" s="162"/>
      <c r="H81" s="161">
        <v>3.7</v>
      </c>
      <c r="I81" s="180">
        <v>7</v>
      </c>
      <c r="J81" s="160">
        <v>0.5</v>
      </c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256"/>
      <c r="X81" s="208">
        <f t="shared" si="1"/>
        <v>11.2</v>
      </c>
    </row>
    <row r="82" spans="1:24" ht="15.75" thickBot="1" x14ac:dyDescent="0.3">
      <c r="A82" s="403"/>
      <c r="B82" s="171"/>
      <c r="C82" s="165"/>
      <c r="D82" s="166"/>
      <c r="E82" s="166"/>
      <c r="F82" s="166"/>
      <c r="G82" s="166"/>
      <c r="H82" s="179"/>
      <c r="I82" s="181"/>
      <c r="J82" s="178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257"/>
      <c r="X82" s="208">
        <f t="shared" si="1"/>
        <v>0</v>
      </c>
    </row>
    <row r="83" spans="1:24" ht="15.75" thickBot="1" x14ac:dyDescent="0.3">
      <c r="A83" s="402" t="s">
        <v>262</v>
      </c>
      <c r="B83" s="188"/>
      <c r="C83" s="189"/>
      <c r="D83" s="190"/>
      <c r="E83" s="190"/>
      <c r="F83" s="190"/>
      <c r="G83" s="190"/>
      <c r="H83" s="191"/>
      <c r="I83" s="192"/>
      <c r="J83" s="160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256"/>
      <c r="X83" s="208">
        <f t="shared" si="1"/>
        <v>0</v>
      </c>
    </row>
    <row r="84" spans="1:24" ht="15.75" thickBot="1" x14ac:dyDescent="0.3">
      <c r="A84" s="403"/>
      <c r="B84" s="171"/>
      <c r="C84" s="165"/>
      <c r="D84" s="166"/>
      <c r="E84" s="166"/>
      <c r="F84" s="166"/>
      <c r="G84" s="166"/>
      <c r="H84" s="166"/>
      <c r="I84" s="167"/>
      <c r="J84" s="165"/>
      <c r="K84" s="193">
        <v>228</v>
      </c>
      <c r="L84" s="193">
        <v>112</v>
      </c>
      <c r="M84" s="193">
        <v>104</v>
      </c>
      <c r="N84" s="166"/>
      <c r="O84" s="166"/>
      <c r="P84" s="166"/>
      <c r="Q84" s="166"/>
      <c r="R84" s="166"/>
      <c r="S84" s="166"/>
      <c r="T84" s="166"/>
      <c r="U84" s="166"/>
      <c r="V84" s="166"/>
      <c r="W84" s="257"/>
      <c r="X84" s="208">
        <f t="shared" si="1"/>
        <v>444</v>
      </c>
    </row>
  </sheetData>
  <mergeCells count="42">
    <mergeCell ref="A81:A82"/>
    <mergeCell ref="A83:A84"/>
    <mergeCell ref="A71:A72"/>
    <mergeCell ref="A73:A74"/>
    <mergeCell ref="A75:A76"/>
    <mergeCell ref="A77:A78"/>
    <mergeCell ref="A79:A80"/>
    <mergeCell ref="A61:A62"/>
    <mergeCell ref="A63:A64"/>
    <mergeCell ref="A65:A66"/>
    <mergeCell ref="A67:A68"/>
    <mergeCell ref="A69:A70"/>
    <mergeCell ref="A47:A48"/>
    <mergeCell ref="A49:A50"/>
    <mergeCell ref="A51:A52"/>
    <mergeCell ref="A53:A54"/>
    <mergeCell ref="A59:A60"/>
    <mergeCell ref="A55:A56"/>
    <mergeCell ref="A57:A58"/>
    <mergeCell ref="A41:A42"/>
    <mergeCell ref="A43:A44"/>
    <mergeCell ref="A45:A46"/>
    <mergeCell ref="A29:A30"/>
    <mergeCell ref="A31:A32"/>
    <mergeCell ref="A33:A34"/>
    <mergeCell ref="A35:A36"/>
    <mergeCell ref="A37:A38"/>
    <mergeCell ref="A21:A22"/>
    <mergeCell ref="A23:A24"/>
    <mergeCell ref="A25:A26"/>
    <mergeCell ref="A27:A28"/>
    <mergeCell ref="A39:A40"/>
    <mergeCell ref="A11:A12"/>
    <mergeCell ref="A13:A14"/>
    <mergeCell ref="A15:A16"/>
    <mergeCell ref="A17:A18"/>
    <mergeCell ref="A19:A20"/>
    <mergeCell ref="A3:A4"/>
    <mergeCell ref="A5:A6"/>
    <mergeCell ref="A7:A8"/>
    <mergeCell ref="A9:A10"/>
    <mergeCell ref="A1:X1"/>
  </mergeCell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006F68-234D-4898-982C-23C604B085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PF</vt:lpstr>
      <vt:lpstr>BDPF</vt:lpstr>
      <vt:lpstr>MEP</vt:lpstr>
      <vt:lpstr>MP</vt:lpstr>
      <vt:lpstr>BDMP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gaspariano orta</dc:creator>
  <cp:lastModifiedBy>Lenovo</cp:lastModifiedBy>
  <dcterms:created xsi:type="dcterms:W3CDTF">2025-06-12T04:21:02Z</dcterms:created>
  <dcterms:modified xsi:type="dcterms:W3CDTF">2025-06-26T16:56:04Z</dcterms:modified>
</cp:coreProperties>
</file>